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Cpu-angelo\e\Arquivos\Rafael\Notas\Relatório Notas Fiscais\2026\03 - Março\NC Portas\"/>
    </mc:Choice>
  </mc:AlternateContent>
  <xr:revisionPtr revIDLastSave="0" documentId="13_ncr:1_{B3632023-5E22-4423-A220-3484097F11C6}" xr6:coauthVersionLast="47" xr6:coauthVersionMax="47" xr10:uidLastSave="{00000000-0000-0000-0000-000000000000}"/>
  <bookViews>
    <workbookView xWindow="-20610" yWindow="630" windowWidth="20730" windowHeight="11160" xr2:uid="{66BD7DB7-9A4D-4E7F-A86D-83768987BCDB}"/>
  </bookViews>
  <sheets>
    <sheet name="NFS-e 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/>
  <c r="B29" i="1"/>
</calcChain>
</file>

<file path=xl/sharedStrings.xml><?xml version="1.0" encoding="utf-8"?>
<sst xmlns="http://schemas.openxmlformats.org/spreadsheetml/2006/main" count="144" uniqueCount="67">
  <si>
    <t>CLIENTE</t>
  </si>
  <si>
    <t>NFS-e</t>
  </si>
  <si>
    <t>VALOR NFS-e</t>
  </si>
  <si>
    <t>DPS</t>
  </si>
  <si>
    <t>CHAVE</t>
  </si>
  <si>
    <t>DATA</t>
  </si>
  <si>
    <t>STATUS</t>
  </si>
  <si>
    <t>OBSERVAÇÕES</t>
  </si>
  <si>
    <t>RETER ISS</t>
  </si>
  <si>
    <t>ISS</t>
  </si>
  <si>
    <t>RETER INSS</t>
  </si>
  <si>
    <t>INSS</t>
  </si>
  <si>
    <t>VALOR LIQUIDO</t>
  </si>
  <si>
    <t>Emitida</t>
  </si>
  <si>
    <t>NÃO</t>
  </si>
  <si>
    <t>Retenção ISS/INSS</t>
  </si>
  <si>
    <t>SIM</t>
  </si>
  <si>
    <t>Retenção ISS</t>
  </si>
  <si>
    <t>Cancelada</t>
  </si>
  <si>
    <t>Manusa do Brasil Comércio de Portas Automáticas Ltda</t>
  </si>
  <si>
    <t>Quantidade Notas</t>
  </si>
  <si>
    <t>Valor Total</t>
  </si>
  <si>
    <t>Valor Liquido</t>
  </si>
  <si>
    <t>41069022213929397000142000000000011426031094687700</t>
  </si>
  <si>
    <t>41069022213929397000142000000000011526039377070800</t>
  </si>
  <si>
    <t>41069022213929397000142000000000011626037887930239</t>
  </si>
  <si>
    <t>41069022213929397000142000000000011726032314153660</t>
  </si>
  <si>
    <t>41069022213929397000142000000000011826031315185102</t>
  </si>
  <si>
    <t>41069022213929397000142000000000011926034728828070</t>
  </si>
  <si>
    <t>41069022213929397000142000000000012026034619340025</t>
  </si>
  <si>
    <t>41069022213929397000142000000000012126030318863372</t>
  </si>
  <si>
    <t>41069022213929397000142000000000012226035452085367</t>
  </si>
  <si>
    <t>41069022213929397000142000000000012326037430192233</t>
  </si>
  <si>
    <t>41069022213929397000142000000000012426030435092900</t>
  </si>
  <si>
    <t>41069022213929397000142000000000012526037410572674</t>
  </si>
  <si>
    <t>41069022213929397000142000000000012626034995510774</t>
  </si>
  <si>
    <t>41069022213929397000142000000000012726035522140521</t>
  </si>
  <si>
    <t>41069022213929397000142000000000012826031446430855</t>
  </si>
  <si>
    <t>41069022213929397000142000000000012926037890595953</t>
  </si>
  <si>
    <t>41069022213929397000142000000000013026038846599556</t>
  </si>
  <si>
    <t>41069022213929397000142000000000013126031834421400</t>
  </si>
  <si>
    <t>41069022213929397000142000000000013226037277174032</t>
  </si>
  <si>
    <t>41069022213929397000142000000000013326038318783510</t>
  </si>
  <si>
    <t>41069022213929397000142000000000013426039293481657</t>
  </si>
  <si>
    <t>41069022213929397000142000000000013526039665334018</t>
  </si>
  <si>
    <t>41069022213929397000142000000000013626036928527864</t>
  </si>
  <si>
    <t>41069022213929397000142000000000013726033304296380</t>
  </si>
  <si>
    <t>Grandfood Indústria Ltda</t>
  </si>
  <si>
    <t>Condominio Shopping Cidade</t>
  </si>
  <si>
    <t>Bassano Di Grappo Fundo de Investimento Imobiliário</t>
  </si>
  <si>
    <t>Auto Posto Transcap Ltda</t>
  </si>
  <si>
    <t>Condomínio Palladium Shopping Center Curitiba</t>
  </si>
  <si>
    <t>F2W Locações de Escritório Ltda</t>
  </si>
  <si>
    <t>Vilela Vianna Advocacia e Consultoria</t>
  </si>
  <si>
    <t>Hotelaria Accor Brasil S/A</t>
  </si>
  <si>
    <t>Pironti e Moura Advogados Associados</t>
  </si>
  <si>
    <t>Baston Indústria de Aerossóis Ltda</t>
  </si>
  <si>
    <t>Condomínio Edifício Torre Sul</t>
  </si>
  <si>
    <t>Sindicato dos Empregados em Estabelecimentos Bancários</t>
  </si>
  <si>
    <t>Cia Beal de Alimentos</t>
  </si>
  <si>
    <t>Condomínio Edifício Residence Batel</t>
  </si>
  <si>
    <t>Hergen S/A Máquinas e Equipamentos</t>
  </si>
  <si>
    <t>FML Incorporadora Ltda</t>
  </si>
  <si>
    <t>Gusto &amp; Henri Supermercados Ltda</t>
  </si>
  <si>
    <t>Condominio Centro Empresarial Engenheiro Jose Joaquim</t>
  </si>
  <si>
    <t>L&amp;F Vidros Ltda</t>
  </si>
  <si>
    <t>Instituto de Neurologia de Curitiba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</si>
</sst>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2"/>
      <color theme="1"/>
      <name val="Gill Sans Nova"/>
      <family val="2"/>
    </font>
    <font>
      <sz val="12"/>
      <color theme="1"/>
      <name val="Gill Sans Nova"/>
      <family val="2"/>
    </font>
    <font>
      <b/>
      <sz val="12"/>
      <color theme="1"/>
      <name val="Gill Sans Nova"/>
      <family val="2"/>
    </font>
    <font>
      <b/>
      <sz val="12"/>
      <color theme="4"/>
      <name val="Gill Sans Nova"/>
      <family val="2"/>
    </font>
    <font>
      <sz val="8"/>
      <name val="Gill Sans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/>
        <bgColor theme="6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0" fillId="2" borderId="6" xfId="0" applyFill="1" applyBorder="1"/>
    <xf numFmtId="44" fontId="0" fillId="2" borderId="7" xfId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4" fontId="0" fillId="2" borderId="9" xfId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44" fontId="0" fillId="2" borderId="11" xfId="1" applyFont="1" applyFill="1" applyBorder="1" applyAlignment="1">
      <alignment horizontal="center"/>
    </xf>
    <xf numFmtId="44" fontId="0" fillId="2" borderId="12" xfId="1" applyFont="1" applyFill="1" applyBorder="1" applyAlignment="1">
      <alignment horizontal="center"/>
    </xf>
    <xf numFmtId="44" fontId="0" fillId="2" borderId="13" xfId="1" applyFont="1" applyFill="1" applyBorder="1" applyAlignment="1">
      <alignment horizontal="center"/>
    </xf>
    <xf numFmtId="0" fontId="0" fillId="0" borderId="6" xfId="0" applyBorder="1"/>
    <xf numFmtId="44" fontId="0" fillId="0" borderId="7" xfId="1" applyFon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9" xfId="1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8" xfId="1" applyNumberFormat="1" applyFont="1" applyBorder="1" applyAlignment="1">
      <alignment horizontal="center"/>
    </xf>
    <xf numFmtId="0" fontId="0" fillId="2" borderId="12" xfId="0" applyFill="1" applyBorder="1"/>
    <xf numFmtId="0" fontId="0" fillId="2" borderId="8" xfId="1" applyNumberFormat="1" applyFont="1" applyFill="1" applyBorder="1" applyAlignment="1">
      <alignment horizontal="center"/>
    </xf>
    <xf numFmtId="0" fontId="0" fillId="0" borderId="11" xfId="0" applyBorder="1"/>
    <xf numFmtId="44" fontId="0" fillId="0" borderId="14" xfId="1" applyFont="1" applyBorder="1" applyAlignment="1">
      <alignment horizontal="center"/>
    </xf>
    <xf numFmtId="0" fontId="0" fillId="0" borderId="15" xfId="1" applyNumberFormat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2" borderId="19" xfId="0" applyFill="1" applyBorder="1"/>
    <xf numFmtId="0" fontId="0" fillId="2" borderId="20" xfId="1" applyNumberFormat="1" applyFont="1" applyFill="1" applyBorder="1" applyAlignment="1">
      <alignment horizontal="center"/>
    </xf>
    <xf numFmtId="44" fontId="0" fillId="2" borderId="21" xfId="1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49" fontId="0" fillId="2" borderId="21" xfId="0" applyNumberFormat="1" applyFill="1" applyBorder="1" applyAlignment="1">
      <alignment horizontal="center"/>
    </xf>
    <xf numFmtId="14" fontId="0" fillId="2" borderId="22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left"/>
    </xf>
    <xf numFmtId="0" fontId="0" fillId="2" borderId="24" xfId="0" applyFill="1" applyBorder="1" applyAlignment="1">
      <alignment horizontal="center"/>
    </xf>
    <xf numFmtId="44" fontId="0" fillId="2" borderId="18" xfId="1" applyFont="1" applyFill="1" applyBorder="1" applyAlignment="1">
      <alignment horizontal="center"/>
    </xf>
    <xf numFmtId="44" fontId="0" fillId="2" borderId="19" xfId="1" applyFont="1" applyFill="1" applyBorder="1" applyAlignment="1">
      <alignment horizontal="center"/>
    </xf>
    <xf numFmtId="44" fontId="0" fillId="2" borderId="22" xfId="1" applyFont="1" applyFill="1" applyBorder="1" applyAlignment="1">
      <alignment horizontal="center"/>
    </xf>
    <xf numFmtId="0" fontId="0" fillId="0" borderId="12" xfId="0" applyBorder="1"/>
    <xf numFmtId="44" fontId="0" fillId="0" borderId="5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2" borderId="5" xfId="1" applyFont="1" applyFill="1" applyBorder="1" applyAlignment="1">
      <alignment horizontal="center"/>
    </xf>
    <xf numFmtId="44" fontId="0" fillId="2" borderId="6" xfId="1" applyFont="1" applyFill="1" applyBorder="1" applyAlignment="1">
      <alignment horizontal="center"/>
    </xf>
    <xf numFmtId="0" fontId="0" fillId="2" borderId="10" xfId="1" applyNumberFormat="1" applyFont="1" applyFill="1" applyBorder="1" applyAlignment="1">
      <alignment horizontal="center"/>
    </xf>
    <xf numFmtId="0" fontId="0" fillId="0" borderId="10" xfId="1" applyNumberFormat="1" applyFont="1" applyBorder="1" applyAlignment="1">
      <alignment horizontal="center"/>
    </xf>
    <xf numFmtId="44" fontId="0" fillId="2" borderId="23" xfId="1" applyFont="1" applyFill="1" applyBorder="1" applyAlignment="1">
      <alignment horizontal="center"/>
    </xf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44" fontId="2" fillId="0" borderId="25" xfId="1" applyFont="1" applyBorder="1"/>
    <xf numFmtId="44" fontId="2" fillId="0" borderId="25" xfId="0" applyNumberFormat="1" applyFont="1" applyBorder="1"/>
    <xf numFmtId="0" fontId="3" fillId="3" borderId="1" xfId="0" applyFont="1" applyFill="1" applyBorder="1"/>
    <xf numFmtId="0" fontId="3" fillId="3" borderId="2" xfId="0" applyFont="1" applyFill="1" applyBorder="1" applyAlignment="1">
      <alignment horizontal="center"/>
    </xf>
    <xf numFmtId="44" fontId="3" fillId="3" borderId="3" xfId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0" fillId="4" borderId="0" xfId="0" applyFill="1"/>
    <xf numFmtId="44" fontId="0" fillId="4" borderId="0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1" applyNumberFormat="1" applyFont="1" applyFill="1" applyBorder="1" applyAlignment="1">
      <alignment horizontal="center"/>
    </xf>
    <xf numFmtId="0" fontId="0" fillId="5" borderId="0" xfId="0" applyFill="1"/>
  </cellXfs>
  <cellStyles count="2">
    <cellStyle name="Currency" xfId="1" builtinId="4"/>
    <cellStyle name="Normal" xfId="0" builtinId="0"/>
  </cellStyles>
  <dxfs count="26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auto="1"/>
        </top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medium">
          <color indexed="64"/>
        </right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Gill Sans Nova"/>
        <family val="2"/>
        <scheme val="none"/>
      </font>
      <fill>
        <patternFill patternType="solid">
          <fgColor theme="6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A1DC8-FF6A-46FE-8A92-5A77DE38BFC3}" name="NFSe" displayName="NFSe" ref="A1:M25" totalsRowShown="0" headerRowDxfId="25" headerRowBorderDxfId="24" tableBorderDxfId="23" headerRowCellStyle="Currency">
  <autoFilter ref="A1:M25" xr:uid="{467A1DC8-FF6A-46FE-8A92-5A77DE38BFC3}"/>
  <sortState xmlns:xlrd2="http://schemas.microsoft.com/office/spreadsheetml/2017/richdata2" ref="A2:M25">
    <sortCondition ref="B1:B25"/>
  </sortState>
  <tableColumns count="13">
    <tableColumn id="1" xr3:uid="{C4747E1C-F9D5-4D9E-A4FE-3B350D872A02}" name="CLIENTE" dataDxfId="22"/>
    <tableColumn id="3" xr3:uid="{EE231F53-0644-4675-9DF8-E77095DB68BE}" name="NFS-e" dataDxfId="21" dataCellStyle="Currency"/>
    <tableColumn id="4" xr3:uid="{9E22079F-E6E0-4E37-BD1E-DD4B491EAFDF}" name="VALOR NFS-e" dataDxfId="20" dataCellStyle="Currency"/>
    <tableColumn id="5" xr3:uid="{81827EC8-0F32-4BD2-8F52-633F4601A9EA}" name="DPS" dataDxfId="19"/>
    <tableColumn id="6" xr3:uid="{E957BC09-5725-42FD-BE09-BB0E43AB5D83}" name="CHAVE" dataDxfId="18"/>
    <tableColumn id="7" xr3:uid="{206897B7-3264-4992-B46F-F541A44C90ED}" name="DATA" dataDxfId="17"/>
    <tableColumn id="8" xr3:uid="{58D14A85-9FA2-47DC-B66D-4D9CEA832840}" name="STATUS" dataDxfId="16"/>
    <tableColumn id="9" xr3:uid="{2E89C85C-8250-4497-9BA8-3528E381ACDC}" name="OBSERVAÇÕES" dataDxfId="15"/>
    <tableColumn id="12" xr3:uid="{3D82C0AF-2EF2-4C01-A94E-04ACE93DE15E}" name="RETER ISS" dataDxfId="14" dataCellStyle="Currency"/>
    <tableColumn id="13" xr3:uid="{366D10F7-41A1-4336-9B04-59D8E4D7893E}" name="ISS" dataDxfId="13" dataCellStyle="Currency"/>
    <tableColumn id="14" xr3:uid="{E7A84FE0-8619-45B6-8E81-10C94DD5BD29}" name="RETER INSS" dataDxfId="12" dataCellStyle="Currency"/>
    <tableColumn id="15" xr3:uid="{496CF0A4-51EA-4826-9509-6DCE019B0E02}" name="INSS" dataDxfId="11" dataCellStyle="Currency"/>
    <tableColumn id="16" xr3:uid="{AA08C79C-8D5E-4B75-BF2F-43C14161EDF1}" name="VALOR LIQUIDO" dataDxfId="10" dataCellStyle="Currenc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C One">
      <a:dk1>
        <a:srgbClr val="39588A"/>
      </a:dk1>
      <a:lt1>
        <a:srgbClr val="FFFFFF"/>
      </a:lt1>
      <a:dk2>
        <a:srgbClr val="2F4A78"/>
      </a:dk2>
      <a:lt2>
        <a:srgbClr val="B5B5B5"/>
      </a:lt2>
      <a:accent1>
        <a:srgbClr val="FDC52E"/>
      </a:accent1>
      <a:accent2>
        <a:srgbClr val="70AD47"/>
      </a:accent2>
      <a:accent3>
        <a:srgbClr val="ED7D31"/>
      </a:accent3>
      <a:accent4>
        <a:srgbClr val="A97DBA"/>
      </a:accent4>
      <a:accent5>
        <a:srgbClr val="B5B5B5"/>
      </a:accent5>
      <a:accent6>
        <a:srgbClr val="C00000"/>
      </a:accent6>
      <a:hlink>
        <a:srgbClr val="39588A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4451-16C6-49B0-8D53-4DC0BDA7FD23}">
  <dimension ref="A1:M29"/>
  <sheetViews>
    <sheetView showGridLines="0" tabSelected="1" zoomScale="90" zoomScaleNormal="90" workbookViewId="0">
      <selection activeCell="C30" sqref="C30"/>
    </sheetView>
  </sheetViews>
  <sheetFormatPr defaultRowHeight="16.5" x14ac:dyDescent="0.3"/>
  <cols>
    <col min="1" max="1" width="49.625" bestFit="1" customWidth="1"/>
    <col min="2" max="2" width="15" bestFit="1" customWidth="1"/>
    <col min="3" max="3" width="20.625" bestFit="1" customWidth="1"/>
    <col min="4" max="4" width="9.125" bestFit="1" customWidth="1"/>
    <col min="5" max="5" width="58.875" bestFit="1" customWidth="1"/>
    <col min="6" max="6" width="11.375" bestFit="1" customWidth="1"/>
    <col min="7" max="7" width="13.25" bestFit="1" customWidth="1"/>
    <col min="8" max="8" width="19.125" bestFit="1" customWidth="1"/>
    <col min="9" max="9" width="15.25" bestFit="1" customWidth="1"/>
    <col min="10" max="10" width="12.125" bestFit="1" customWidth="1"/>
    <col min="11" max="11" width="18.875" bestFit="1" customWidth="1"/>
    <col min="12" max="12" width="13.875" bestFit="1" customWidth="1"/>
    <col min="13" max="13" width="23.625" bestFit="1" customWidth="1"/>
    <col min="14" max="14" width="21" customWidth="1"/>
  </cols>
  <sheetData>
    <row r="1" spans="1:13" ht="17.25" thickBot="1" x14ac:dyDescent="0.35">
      <c r="A1" s="64" t="s">
        <v>0</v>
      </c>
      <c r="B1" s="65" t="s">
        <v>1</v>
      </c>
      <c r="C1" s="66" t="s">
        <v>2</v>
      </c>
      <c r="D1" s="65" t="s">
        <v>3</v>
      </c>
      <c r="E1" s="67" t="s">
        <v>4</v>
      </c>
      <c r="F1" s="68" t="s">
        <v>5</v>
      </c>
      <c r="G1" s="69" t="s">
        <v>6</v>
      </c>
      <c r="H1" s="70" t="s">
        <v>7</v>
      </c>
      <c r="I1" s="71" t="s">
        <v>8</v>
      </c>
      <c r="J1" s="72" t="s">
        <v>9</v>
      </c>
      <c r="K1" s="72" t="s">
        <v>10</v>
      </c>
      <c r="L1" s="72" t="s">
        <v>11</v>
      </c>
      <c r="M1" s="72" t="s">
        <v>12</v>
      </c>
    </row>
    <row r="2" spans="1:13" x14ac:dyDescent="0.3">
      <c r="A2" s="1" t="s">
        <v>47</v>
      </c>
      <c r="B2" s="3">
        <v>114</v>
      </c>
      <c r="C2" s="4">
        <v>1760</v>
      </c>
      <c r="D2" s="5">
        <v>21</v>
      </c>
      <c r="E2" s="6" t="s">
        <v>23</v>
      </c>
      <c r="F2" s="7">
        <v>46084</v>
      </c>
      <c r="G2" s="8" t="s">
        <v>13</v>
      </c>
      <c r="H2" s="9"/>
      <c r="I2" s="10" t="s">
        <v>16</v>
      </c>
      <c r="J2" s="11">
        <v>88</v>
      </c>
      <c r="K2" s="12" t="s">
        <v>14</v>
      </c>
      <c r="L2" s="13">
        <v>0</v>
      </c>
      <c r="M2" s="2">
        <v>1672</v>
      </c>
    </row>
    <row r="3" spans="1:13" x14ac:dyDescent="0.3">
      <c r="A3" s="14" t="s">
        <v>48</v>
      </c>
      <c r="B3" s="16">
        <v>115</v>
      </c>
      <c r="C3" s="17">
        <v>3560</v>
      </c>
      <c r="D3" s="18">
        <v>22</v>
      </c>
      <c r="E3" s="19" t="s">
        <v>24</v>
      </c>
      <c r="F3" s="20">
        <v>46085</v>
      </c>
      <c r="G3" s="21" t="s">
        <v>13</v>
      </c>
      <c r="H3" s="22"/>
      <c r="I3" s="23" t="s">
        <v>14</v>
      </c>
      <c r="J3" s="24">
        <v>0</v>
      </c>
      <c r="K3" s="25" t="s">
        <v>14</v>
      </c>
      <c r="L3" s="26">
        <v>0</v>
      </c>
      <c r="M3" s="15">
        <v>3560</v>
      </c>
    </row>
    <row r="4" spans="1:13" x14ac:dyDescent="0.3">
      <c r="A4" s="1" t="s">
        <v>49</v>
      </c>
      <c r="B4" s="3">
        <v>116</v>
      </c>
      <c r="C4" s="4">
        <v>4815</v>
      </c>
      <c r="D4" s="5">
        <v>116</v>
      </c>
      <c r="E4" s="6" t="s">
        <v>25</v>
      </c>
      <c r="F4" s="7">
        <v>46090</v>
      </c>
      <c r="G4" s="8" t="s">
        <v>18</v>
      </c>
      <c r="H4" s="9" t="s">
        <v>15</v>
      </c>
      <c r="I4" s="10" t="s">
        <v>16</v>
      </c>
      <c r="J4" s="11">
        <v>240.75</v>
      </c>
      <c r="K4" s="12" t="s">
        <v>16</v>
      </c>
      <c r="L4" s="13">
        <v>529.65</v>
      </c>
      <c r="M4" s="2">
        <v>4044.6</v>
      </c>
    </row>
    <row r="5" spans="1:13" x14ac:dyDescent="0.3">
      <c r="A5" s="14" t="s">
        <v>50</v>
      </c>
      <c r="B5" s="16">
        <v>117</v>
      </c>
      <c r="C5" s="17">
        <v>2410</v>
      </c>
      <c r="D5" s="18">
        <v>117</v>
      </c>
      <c r="E5" s="19" t="s">
        <v>26</v>
      </c>
      <c r="F5" s="20">
        <v>46090</v>
      </c>
      <c r="G5" s="21" t="s">
        <v>13</v>
      </c>
      <c r="H5" s="22" t="s">
        <v>17</v>
      </c>
      <c r="I5" s="23" t="s">
        <v>16</v>
      </c>
      <c r="J5" s="24">
        <v>120.5</v>
      </c>
      <c r="K5" s="25" t="s">
        <v>14</v>
      </c>
      <c r="L5" s="26">
        <v>0</v>
      </c>
      <c r="M5" s="15">
        <v>2289.5</v>
      </c>
    </row>
    <row r="6" spans="1:13" x14ac:dyDescent="0.3">
      <c r="A6" s="1" t="s">
        <v>49</v>
      </c>
      <c r="B6" s="3">
        <v>118</v>
      </c>
      <c r="C6" s="4">
        <v>4815</v>
      </c>
      <c r="D6" s="5">
        <v>23</v>
      </c>
      <c r="E6" s="6" t="s">
        <v>27</v>
      </c>
      <c r="F6" s="7">
        <v>46090</v>
      </c>
      <c r="G6" s="8" t="s">
        <v>13</v>
      </c>
      <c r="H6" s="9" t="s">
        <v>15</v>
      </c>
      <c r="I6" s="10" t="s">
        <v>16</v>
      </c>
      <c r="J6" s="11">
        <v>240.75</v>
      </c>
      <c r="K6" s="12" t="s">
        <v>16</v>
      </c>
      <c r="L6" s="13">
        <v>529.65</v>
      </c>
      <c r="M6" s="2">
        <v>4044.6</v>
      </c>
    </row>
    <row r="7" spans="1:13" x14ac:dyDescent="0.3">
      <c r="A7" s="14" t="s">
        <v>19</v>
      </c>
      <c r="B7" s="16">
        <v>119</v>
      </c>
      <c r="C7" s="17">
        <v>3658.96</v>
      </c>
      <c r="D7" s="18">
        <v>119</v>
      </c>
      <c r="E7" s="19" t="s">
        <v>28</v>
      </c>
      <c r="F7" s="20">
        <v>46092</v>
      </c>
      <c r="G7" s="21" t="s">
        <v>13</v>
      </c>
      <c r="H7" s="22"/>
      <c r="I7" s="23" t="s">
        <v>14</v>
      </c>
      <c r="J7" s="24">
        <v>0</v>
      </c>
      <c r="K7" s="25" t="s">
        <v>14</v>
      </c>
      <c r="L7" s="26">
        <v>0</v>
      </c>
      <c r="M7" s="15">
        <v>3658.96</v>
      </c>
    </row>
    <row r="8" spans="1:13" x14ac:dyDescent="0.3">
      <c r="A8" s="1" t="s">
        <v>51</v>
      </c>
      <c r="B8" s="3">
        <v>120</v>
      </c>
      <c r="C8" s="4">
        <v>950</v>
      </c>
      <c r="D8" s="5">
        <v>24</v>
      </c>
      <c r="E8" s="6" t="s">
        <v>29</v>
      </c>
      <c r="F8" s="7">
        <v>46094</v>
      </c>
      <c r="G8" s="8" t="s">
        <v>13</v>
      </c>
      <c r="H8" s="9"/>
      <c r="I8" s="10" t="s">
        <v>14</v>
      </c>
      <c r="J8" s="11">
        <v>0</v>
      </c>
      <c r="K8" s="12" t="s">
        <v>14</v>
      </c>
      <c r="L8" s="13">
        <v>0</v>
      </c>
      <c r="M8" s="2">
        <v>950</v>
      </c>
    </row>
    <row r="9" spans="1:13" x14ac:dyDescent="0.3">
      <c r="A9" s="14" t="s">
        <v>52</v>
      </c>
      <c r="B9" s="27">
        <v>121</v>
      </c>
      <c r="C9" s="17">
        <v>590</v>
      </c>
      <c r="D9" s="18">
        <v>121</v>
      </c>
      <c r="E9" s="19" t="s">
        <v>30</v>
      </c>
      <c r="F9" s="20">
        <v>46097</v>
      </c>
      <c r="G9" s="21" t="s">
        <v>13</v>
      </c>
      <c r="H9" s="22"/>
      <c r="I9" s="23" t="s">
        <v>14</v>
      </c>
      <c r="J9" s="24">
        <v>0</v>
      </c>
      <c r="K9" s="25" t="s">
        <v>14</v>
      </c>
      <c r="L9" s="26">
        <v>0</v>
      </c>
      <c r="M9" s="15">
        <v>590</v>
      </c>
    </row>
    <row r="10" spans="1:13" x14ac:dyDescent="0.3">
      <c r="A10" s="28" t="s">
        <v>53</v>
      </c>
      <c r="B10" s="29">
        <v>122</v>
      </c>
      <c r="C10" s="4">
        <v>4010</v>
      </c>
      <c r="D10" s="5">
        <v>122</v>
      </c>
      <c r="E10" s="6" t="s">
        <v>31</v>
      </c>
      <c r="F10" s="7">
        <v>46097</v>
      </c>
      <c r="G10" s="8" t="s">
        <v>13</v>
      </c>
      <c r="H10" s="9"/>
      <c r="I10" s="10" t="s">
        <v>14</v>
      </c>
      <c r="J10" s="11">
        <v>0</v>
      </c>
      <c r="K10" s="12" t="s">
        <v>14</v>
      </c>
      <c r="L10" s="13">
        <v>0</v>
      </c>
      <c r="M10" s="2">
        <v>4010</v>
      </c>
    </row>
    <row r="11" spans="1:13" x14ac:dyDescent="0.3">
      <c r="A11" s="30" t="s">
        <v>54</v>
      </c>
      <c r="B11" s="32">
        <v>123</v>
      </c>
      <c r="C11" s="33">
        <v>890</v>
      </c>
      <c r="D11" s="34">
        <v>123</v>
      </c>
      <c r="E11" s="35" t="s">
        <v>32</v>
      </c>
      <c r="F11" s="36">
        <v>46097</v>
      </c>
      <c r="G11" s="37" t="s">
        <v>13</v>
      </c>
      <c r="H11" s="38"/>
      <c r="I11" s="39" t="s">
        <v>14</v>
      </c>
      <c r="J11" s="24">
        <v>0</v>
      </c>
      <c r="K11" s="24" t="s">
        <v>14</v>
      </c>
      <c r="L11" s="26">
        <v>0</v>
      </c>
      <c r="M11" s="31">
        <v>890</v>
      </c>
    </row>
    <row r="12" spans="1:13" x14ac:dyDescent="0.3">
      <c r="A12" s="40" t="s">
        <v>55</v>
      </c>
      <c r="B12" s="41">
        <v>124</v>
      </c>
      <c r="C12" s="42">
        <v>890</v>
      </c>
      <c r="D12" s="43">
        <v>124</v>
      </c>
      <c r="E12" s="44" t="s">
        <v>33</v>
      </c>
      <c r="F12" s="45">
        <v>46098</v>
      </c>
      <c r="G12" s="46" t="s">
        <v>13</v>
      </c>
      <c r="H12" s="47"/>
      <c r="I12" s="48" t="s">
        <v>14</v>
      </c>
      <c r="J12" s="49">
        <v>0</v>
      </c>
      <c r="K12" s="50" t="s">
        <v>14</v>
      </c>
      <c r="L12" s="51">
        <v>0</v>
      </c>
      <c r="M12" s="59">
        <v>890</v>
      </c>
    </row>
    <row r="13" spans="1:13" x14ac:dyDescent="0.3">
      <c r="A13" s="52" t="s">
        <v>56</v>
      </c>
      <c r="B13" s="27">
        <v>125</v>
      </c>
      <c r="C13" s="17">
        <v>1760</v>
      </c>
      <c r="D13" s="18">
        <v>125</v>
      </c>
      <c r="E13" s="19" t="s">
        <v>34</v>
      </c>
      <c r="F13" s="20">
        <v>46099</v>
      </c>
      <c r="G13" s="21" t="s">
        <v>13</v>
      </c>
      <c r="H13" s="22" t="s">
        <v>17</v>
      </c>
      <c r="I13" s="23" t="s">
        <v>16</v>
      </c>
      <c r="J13" s="53">
        <v>88</v>
      </c>
      <c r="K13" s="25" t="s">
        <v>14</v>
      </c>
      <c r="L13" s="54">
        <v>0</v>
      </c>
      <c r="M13" s="15">
        <v>1672</v>
      </c>
    </row>
    <row r="14" spans="1:13" x14ac:dyDescent="0.3">
      <c r="A14" s="28" t="s">
        <v>57</v>
      </c>
      <c r="B14" s="29">
        <v>126</v>
      </c>
      <c r="C14" s="4">
        <v>890</v>
      </c>
      <c r="D14" s="5">
        <v>126</v>
      </c>
      <c r="E14" s="6" t="s">
        <v>35</v>
      </c>
      <c r="F14" s="7">
        <v>46099</v>
      </c>
      <c r="G14" s="8" t="s">
        <v>13</v>
      </c>
      <c r="H14" s="9"/>
      <c r="I14" s="10" t="s">
        <v>14</v>
      </c>
      <c r="J14" s="55">
        <v>0</v>
      </c>
      <c r="K14" s="12" t="s">
        <v>14</v>
      </c>
      <c r="L14" s="56">
        <v>0</v>
      </c>
      <c r="M14" s="2">
        <v>890</v>
      </c>
    </row>
    <row r="15" spans="1:13" x14ac:dyDescent="0.3">
      <c r="A15" s="52" t="s">
        <v>58</v>
      </c>
      <c r="B15" s="27">
        <v>127</v>
      </c>
      <c r="C15" s="17">
        <v>890</v>
      </c>
      <c r="D15" s="18">
        <v>127</v>
      </c>
      <c r="E15" s="19" t="s">
        <v>36</v>
      </c>
      <c r="F15" s="20">
        <v>46099</v>
      </c>
      <c r="G15" s="21" t="s">
        <v>13</v>
      </c>
      <c r="H15" s="22"/>
      <c r="I15" s="23" t="s">
        <v>14</v>
      </c>
      <c r="J15" s="53">
        <v>0</v>
      </c>
      <c r="K15" s="25" t="s">
        <v>14</v>
      </c>
      <c r="L15" s="54">
        <v>0</v>
      </c>
      <c r="M15" s="15">
        <v>890</v>
      </c>
    </row>
    <row r="16" spans="1:13" x14ac:dyDescent="0.3">
      <c r="A16" s="28" t="s">
        <v>59</v>
      </c>
      <c r="B16" s="29">
        <v>128</v>
      </c>
      <c r="C16" s="4">
        <v>890</v>
      </c>
      <c r="D16" s="5">
        <v>128</v>
      </c>
      <c r="E16" s="6" t="s">
        <v>37</v>
      </c>
      <c r="F16" s="7">
        <v>46101</v>
      </c>
      <c r="G16" s="8" t="s">
        <v>13</v>
      </c>
      <c r="H16" s="9"/>
      <c r="I16" s="10" t="s">
        <v>14</v>
      </c>
      <c r="J16" s="55">
        <v>0</v>
      </c>
      <c r="K16" s="12" t="s">
        <v>14</v>
      </c>
      <c r="L16" s="56">
        <v>0</v>
      </c>
      <c r="M16" s="2">
        <v>890</v>
      </c>
    </row>
    <row r="17" spans="1:13" x14ac:dyDescent="0.3">
      <c r="A17" s="52" t="s">
        <v>60</v>
      </c>
      <c r="B17" s="27">
        <v>129</v>
      </c>
      <c r="C17" s="17">
        <v>890</v>
      </c>
      <c r="D17" s="18">
        <v>129</v>
      </c>
      <c r="E17" s="19" t="s">
        <v>38</v>
      </c>
      <c r="F17" s="20">
        <v>46101</v>
      </c>
      <c r="G17" s="21" t="s">
        <v>13</v>
      </c>
      <c r="H17" s="22"/>
      <c r="I17" s="23" t="s">
        <v>14</v>
      </c>
      <c r="J17" s="53">
        <v>0</v>
      </c>
      <c r="K17" s="25" t="s">
        <v>14</v>
      </c>
      <c r="L17" s="54">
        <v>0</v>
      </c>
      <c r="M17" s="15">
        <v>890</v>
      </c>
    </row>
    <row r="18" spans="1:13" x14ac:dyDescent="0.3">
      <c r="A18" s="28" t="s">
        <v>61</v>
      </c>
      <c r="B18" s="29">
        <v>130</v>
      </c>
      <c r="C18" s="4">
        <v>1608</v>
      </c>
      <c r="D18" s="5">
        <v>130</v>
      </c>
      <c r="E18" s="6" t="s">
        <v>39</v>
      </c>
      <c r="F18" s="7">
        <v>46101</v>
      </c>
      <c r="G18" s="8" t="s">
        <v>13</v>
      </c>
      <c r="H18" s="22" t="s">
        <v>17</v>
      </c>
      <c r="I18" s="10" t="s">
        <v>16</v>
      </c>
      <c r="J18" s="55">
        <v>80.400000000000006</v>
      </c>
      <c r="K18" s="12" t="s">
        <v>14</v>
      </c>
      <c r="L18" s="56">
        <v>0</v>
      </c>
      <c r="M18" s="2">
        <v>1527.6</v>
      </c>
    </row>
    <row r="19" spans="1:13" x14ac:dyDescent="0.3">
      <c r="A19" s="52" t="s">
        <v>51</v>
      </c>
      <c r="B19" s="27">
        <v>131</v>
      </c>
      <c r="C19" s="17">
        <v>950</v>
      </c>
      <c r="D19" s="18">
        <v>131</v>
      </c>
      <c r="E19" s="19" t="s">
        <v>40</v>
      </c>
      <c r="F19" s="20">
        <v>46101</v>
      </c>
      <c r="G19" s="21" t="s">
        <v>13</v>
      </c>
      <c r="H19" s="22"/>
      <c r="I19" s="23" t="s">
        <v>14</v>
      </c>
      <c r="J19" s="53">
        <v>0</v>
      </c>
      <c r="K19" s="25" t="s">
        <v>14</v>
      </c>
      <c r="L19" s="54">
        <v>0</v>
      </c>
      <c r="M19" s="15">
        <v>950</v>
      </c>
    </row>
    <row r="20" spans="1:13" x14ac:dyDescent="0.3">
      <c r="A20" s="28" t="s">
        <v>62</v>
      </c>
      <c r="B20" s="29">
        <v>132</v>
      </c>
      <c r="C20" s="4">
        <v>890</v>
      </c>
      <c r="D20" s="5">
        <v>132</v>
      </c>
      <c r="E20" s="6" t="s">
        <v>41</v>
      </c>
      <c r="F20" s="7">
        <v>46101</v>
      </c>
      <c r="G20" s="8" t="s">
        <v>13</v>
      </c>
      <c r="H20" s="9"/>
      <c r="I20" s="57" t="s">
        <v>14</v>
      </c>
      <c r="J20" s="55">
        <v>0</v>
      </c>
      <c r="K20" s="12" t="s">
        <v>14</v>
      </c>
      <c r="L20" s="56">
        <v>0</v>
      </c>
      <c r="M20" s="2">
        <v>890</v>
      </c>
    </row>
    <row r="21" spans="1:13" x14ac:dyDescent="0.3">
      <c r="A21" s="52" t="s">
        <v>63</v>
      </c>
      <c r="B21" s="27">
        <v>133</v>
      </c>
      <c r="C21" s="17">
        <v>890</v>
      </c>
      <c r="D21" s="18">
        <v>133</v>
      </c>
      <c r="E21" s="19" t="s">
        <v>42</v>
      </c>
      <c r="F21" s="20">
        <v>46104</v>
      </c>
      <c r="G21" s="21" t="s">
        <v>13</v>
      </c>
      <c r="H21" s="22" t="s">
        <v>17</v>
      </c>
      <c r="I21" s="58" t="s">
        <v>16</v>
      </c>
      <c r="J21" s="53">
        <v>44.5</v>
      </c>
      <c r="K21" s="25" t="s">
        <v>14</v>
      </c>
      <c r="L21" s="54">
        <v>0</v>
      </c>
      <c r="M21" s="15">
        <v>845.5</v>
      </c>
    </row>
    <row r="22" spans="1:13" x14ac:dyDescent="0.3">
      <c r="A22" s="28" t="s">
        <v>63</v>
      </c>
      <c r="B22" s="29">
        <v>134</v>
      </c>
      <c r="C22" s="4">
        <v>890</v>
      </c>
      <c r="D22" s="5">
        <v>135</v>
      </c>
      <c r="E22" s="6" t="s">
        <v>43</v>
      </c>
      <c r="F22" s="7">
        <v>46106</v>
      </c>
      <c r="G22" s="8" t="s">
        <v>13</v>
      </c>
      <c r="H22" s="22" t="s">
        <v>17</v>
      </c>
      <c r="I22" s="57" t="s">
        <v>16</v>
      </c>
      <c r="J22" s="55">
        <v>44.5</v>
      </c>
      <c r="K22" s="12" t="s">
        <v>14</v>
      </c>
      <c r="L22" s="56">
        <v>0</v>
      </c>
      <c r="M22" s="2">
        <v>845.5</v>
      </c>
    </row>
    <row r="23" spans="1:13" x14ac:dyDescent="0.3">
      <c r="A23" s="52" t="s">
        <v>64</v>
      </c>
      <c r="B23" s="27">
        <v>135</v>
      </c>
      <c r="C23" s="17">
        <v>530</v>
      </c>
      <c r="D23" s="18">
        <v>136</v>
      </c>
      <c r="E23" s="19" t="s">
        <v>44</v>
      </c>
      <c r="F23" s="20">
        <v>46111</v>
      </c>
      <c r="G23" s="21" t="s">
        <v>13</v>
      </c>
      <c r="H23" s="22"/>
      <c r="I23" s="58" t="s">
        <v>14</v>
      </c>
      <c r="J23" s="53">
        <v>0</v>
      </c>
      <c r="K23" s="25" t="s">
        <v>14</v>
      </c>
      <c r="L23" s="54">
        <v>0</v>
      </c>
      <c r="M23" s="15">
        <v>530</v>
      </c>
    </row>
    <row r="24" spans="1:13" x14ac:dyDescent="0.3">
      <c r="A24" s="28" t="s">
        <v>65</v>
      </c>
      <c r="B24" s="29">
        <v>136</v>
      </c>
      <c r="C24" s="4">
        <v>2354</v>
      </c>
      <c r="D24" s="5">
        <v>137</v>
      </c>
      <c r="E24" s="6" t="s">
        <v>45</v>
      </c>
      <c r="F24" s="7">
        <v>46111</v>
      </c>
      <c r="G24" s="8" t="s">
        <v>13</v>
      </c>
      <c r="H24" s="22" t="s">
        <v>17</v>
      </c>
      <c r="I24" s="57" t="s">
        <v>16</v>
      </c>
      <c r="J24" s="55">
        <v>117.7</v>
      </c>
      <c r="K24" s="12" t="s">
        <v>14</v>
      </c>
      <c r="L24" s="56">
        <v>0</v>
      </c>
      <c r="M24" s="2">
        <v>2236.3000000000002</v>
      </c>
    </row>
    <row r="25" spans="1:13" x14ac:dyDescent="0.3">
      <c r="A25" s="28" t="s">
        <v>66</v>
      </c>
      <c r="B25" s="29">
        <v>137</v>
      </c>
      <c r="C25" s="4">
        <v>890</v>
      </c>
      <c r="D25" s="5">
        <v>138</v>
      </c>
      <c r="E25" s="6" t="s">
        <v>46</v>
      </c>
      <c r="F25" s="7">
        <v>46112</v>
      </c>
      <c r="G25" s="8" t="s">
        <v>13</v>
      </c>
      <c r="H25" s="9"/>
      <c r="I25" s="57" t="s">
        <v>14</v>
      </c>
      <c r="J25" s="55">
        <v>0</v>
      </c>
      <c r="K25" s="12" t="s">
        <v>14</v>
      </c>
      <c r="L25" s="56">
        <v>0</v>
      </c>
      <c r="M25" s="2">
        <v>890</v>
      </c>
    </row>
    <row r="26" spans="1:13" s="80" customFormat="1" ht="17.25" thickBot="1" x14ac:dyDescent="0.35">
      <c r="A26" s="73"/>
      <c r="B26" s="79"/>
      <c r="C26" s="74"/>
      <c r="D26" s="75"/>
      <c r="E26" s="76"/>
      <c r="F26" s="77"/>
      <c r="G26" s="75"/>
      <c r="H26" s="78"/>
      <c r="I26" s="79"/>
      <c r="J26" s="74"/>
      <c r="K26" s="74"/>
      <c r="L26" s="74"/>
      <c r="M26" s="74"/>
    </row>
    <row r="27" spans="1:13" ht="17.25" thickBot="1" x14ac:dyDescent="0.35">
      <c r="A27" s="60" t="s">
        <v>20</v>
      </c>
      <c r="B27" s="61">
        <f>COUNT(NFSe[NFS-e])</f>
        <v>24</v>
      </c>
    </row>
    <row r="28" spans="1:13" ht="17.25" thickBot="1" x14ac:dyDescent="0.35">
      <c r="A28" s="60" t="s">
        <v>21</v>
      </c>
      <c r="B28" s="62">
        <f>SUM(NFSe[VALOR NFS-e])</f>
        <v>42670.96</v>
      </c>
    </row>
    <row r="29" spans="1:13" ht="17.25" thickBot="1" x14ac:dyDescent="0.35">
      <c r="A29" s="60" t="s">
        <v>22</v>
      </c>
      <c r="B29" s="63">
        <f>SUM(NFSe[VALOR LIQUIDO])</f>
        <v>40546.560000000005</v>
      </c>
    </row>
  </sheetData>
  <phoneticPr fontId="4" type="noConversion"/>
  <conditionalFormatting sqref="B2:H26">
    <cfRule type="expression" dxfId="9" priority="8">
      <formula>$G2="Cancelada"</formula>
    </cfRule>
    <cfRule type="expression" dxfId="8" priority="9">
      <formula>$G2="Substituida"</formula>
    </cfRule>
    <cfRule type="expression" dxfId="7" priority="10">
      <formula>$G2="Emitida"</formula>
    </cfRule>
  </conditionalFormatting>
  <conditionalFormatting sqref="I2:J26">
    <cfRule type="expression" dxfId="6" priority="6">
      <formula>$I2="NÃO"</formula>
    </cfRule>
    <cfRule type="expression" dxfId="5" priority="7">
      <formula>$I2="SIM"</formula>
    </cfRule>
  </conditionalFormatting>
  <conditionalFormatting sqref="K2:L26">
    <cfRule type="expression" dxfId="4" priority="4">
      <formula>$K2="NÃO"</formula>
    </cfRule>
    <cfRule type="expression" dxfId="3" priority="5">
      <formula>$K2="SIM"</formula>
    </cfRule>
  </conditionalFormatting>
  <conditionalFormatting sqref="M2:M26">
    <cfRule type="expression" dxfId="2" priority="1">
      <formula>$G2="Cancelada"</formula>
    </cfRule>
    <cfRule type="expression" dxfId="1" priority="2">
      <formula>$G2="Substituida"</formula>
    </cfRule>
    <cfRule type="expression" dxfId="0" priority="3">
      <formula>$G2="Emitida"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NFS-e 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lago</dc:creator>
  <cp:lastModifiedBy>rafael lago</cp:lastModifiedBy>
  <dcterms:created xsi:type="dcterms:W3CDTF">2026-03-02T16:47:40Z</dcterms:created>
  <dcterms:modified xsi:type="dcterms:W3CDTF">2026-04-01T12:14:24Z</dcterms:modified>
</cp:coreProperties>
</file>