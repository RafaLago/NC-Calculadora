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Cpu-angelo\e\Arquivos\Rafael\Python\NC Calculadora\"/>
    </mc:Choice>
  </mc:AlternateContent>
  <xr:revisionPtr revIDLastSave="0" documentId="13_ncr:1_{1B228EAA-DE2A-45E9-AF45-8B271C4AC05F}" xr6:coauthVersionLast="47" xr6:coauthVersionMax="47" xr10:uidLastSave="{00000000-0000-0000-0000-000000000000}"/>
  <bookViews>
    <workbookView xWindow="-20610" yWindow="2610" windowWidth="20730" windowHeight="11160" tabRatio="897" activeTab="5" xr2:uid="{CDD53138-3858-4E21-95D0-1D72E8178BB7}"/>
  </bookViews>
  <sheets>
    <sheet name="To Do" sheetId="4" r:id="rId1"/>
    <sheet name="NC Portas" sheetId="1" state="hidden" r:id="rId2"/>
    <sheet name="Formulas" sheetId="12" r:id="rId3"/>
    <sheet name="Preços" sheetId="17" r:id="rId4"/>
    <sheet name="Configurador" sheetId="18" r:id="rId5"/>
    <sheet name="NF-e NC" sheetId="5" r:id="rId6"/>
    <sheet name="NFS-e NC" sheetId="6" r:id="rId7"/>
    <sheet name="Nice and Clean " sheetId="2" state="hidden" r:id="rId8"/>
    <sheet name="NF-e Nice" sheetId="9" r:id="rId9"/>
    <sheet name="NFS-e Nice" sheetId="10" r:id="rId10"/>
    <sheet name="Data" sheetId="11" r:id="rId11"/>
    <sheet name="CSP" sheetId="14" r:id="rId12"/>
    <sheet name="Serviços" sheetId="16" r:id="rId13"/>
    <sheet name="Produtos" sheetId="15" r:id="rId14"/>
    <sheet name="Bases" sheetId="20" r:id="rId15"/>
    <sheet name="Py Base" sheetId="19" r:id="rId16"/>
  </sheets>
  <definedNames>
    <definedName name="Produtos">Table_Produtos[PRODUTO]</definedName>
    <definedName name="Serviços">Table_Serviços[SERVIÇO]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0" i="6" l="1"/>
  <c r="N180" i="6" a="1"/>
  <c r="N180" i="6" s="1"/>
  <c r="G240" i="5"/>
  <c r="L179" i="6"/>
  <c r="N179" i="6" a="1"/>
  <c r="N179" i="6" s="1"/>
  <c r="L178" i="6"/>
  <c r="N178" i="6" a="1"/>
  <c r="N178" i="6" s="1"/>
  <c r="L177" i="6"/>
  <c r="N177" i="6" a="1"/>
  <c r="N177" i="6" s="1"/>
  <c r="G239" i="5"/>
  <c r="G238" i="5"/>
  <c r="G237" i="5"/>
  <c r="L176" i="6"/>
  <c r="N176" i="6" a="1"/>
  <c r="N176" i="6" s="1"/>
  <c r="G236" i="5"/>
  <c r="L175" i="6"/>
  <c r="N175" i="6" a="1"/>
  <c r="N175" i="6" s="1"/>
  <c r="L174" i="6"/>
  <c r="N174" i="6" a="1"/>
  <c r="N174" i="6" s="1"/>
  <c r="L173" i="6"/>
  <c r="N173" i="6" a="1"/>
  <c r="N173" i="6" s="1"/>
  <c r="L172" i="6"/>
  <c r="N172" i="6" a="1"/>
  <c r="N172" i="6" s="1"/>
  <c r="G235" i="5"/>
  <c r="O180" i="6" l="1"/>
  <c r="O179" i="6"/>
  <c r="O175" i="6"/>
  <c r="O178" i="6"/>
  <c r="O176" i="6"/>
  <c r="O177" i="6"/>
  <c r="O174" i="6"/>
  <c r="O173" i="6"/>
  <c r="O172" i="6"/>
  <c r="G234" i="5"/>
  <c r="L163" i="6"/>
  <c r="L164" i="6"/>
  <c r="L165" i="6"/>
  <c r="L166" i="6"/>
  <c r="L167" i="6"/>
  <c r="L168" i="6"/>
  <c r="L169" i="6"/>
  <c r="L170" i="6"/>
  <c r="L171" i="6"/>
  <c r="N163" i="6" a="1"/>
  <c r="N163" i="6" s="1"/>
  <c r="N164" i="6" a="1"/>
  <c r="N164" i="6" s="1"/>
  <c r="N165" i="6" a="1"/>
  <c r="N165" i="6" s="1"/>
  <c r="N166" i="6" a="1"/>
  <c r="N166" i="6" s="1"/>
  <c r="N167" i="6" a="1"/>
  <c r="N167" i="6" s="1"/>
  <c r="N168" i="6" a="1"/>
  <c r="N168" i="6" s="1"/>
  <c r="N169" i="6" a="1"/>
  <c r="N169" i="6" s="1"/>
  <c r="N170" i="6" a="1"/>
  <c r="N170" i="6" s="1"/>
  <c r="N171" i="6" a="1"/>
  <c r="N171" i="6" s="1"/>
  <c r="G233" i="5"/>
  <c r="G232" i="5"/>
  <c r="G231" i="5"/>
  <c r="G230" i="5"/>
  <c r="G229" i="5"/>
  <c r="G228" i="5"/>
  <c r="G227" i="5"/>
  <c r="L162" i="6"/>
  <c r="N162" i="6" a="1"/>
  <c r="N162" i="6" s="1"/>
  <c r="G226" i="5"/>
  <c r="G225" i="5"/>
  <c r="L161" i="6"/>
  <c r="N161" i="6" a="1"/>
  <c r="N161" i="6" s="1"/>
  <c r="G224" i="5"/>
  <c r="G223" i="5"/>
  <c r="L160" i="6"/>
  <c r="N160" i="6" a="1"/>
  <c r="N160" i="6" s="1"/>
  <c r="G222" i="5"/>
  <c r="L159" i="6"/>
  <c r="N159" i="6" a="1"/>
  <c r="N159" i="6" s="1"/>
  <c r="G221" i="5"/>
  <c r="L158" i="6"/>
  <c r="N158" i="6" a="1"/>
  <c r="N158" i="6" s="1"/>
  <c r="G220" i="5"/>
  <c r="L157" i="6"/>
  <c r="N157" i="6" a="1"/>
  <c r="N157" i="6" s="1"/>
  <c r="G219" i="5"/>
  <c r="L156" i="6"/>
  <c r="N156" i="6" a="1"/>
  <c r="N156" i="6" s="1"/>
  <c r="G218" i="5"/>
  <c r="L155" i="6"/>
  <c r="N155" i="6" a="1"/>
  <c r="N155" i="6" s="1"/>
  <c r="G217" i="5"/>
  <c r="L154" i="6"/>
  <c r="N154" i="6" a="1"/>
  <c r="N154" i="6" s="1"/>
  <c r="G216" i="5"/>
  <c r="O170" i="6" l="1"/>
  <c r="O166" i="6"/>
  <c r="O171" i="6"/>
  <c r="O167" i="6"/>
  <c r="O163" i="6"/>
  <c r="O169" i="6"/>
  <c r="O165" i="6"/>
  <c r="O168" i="6"/>
  <c r="O164" i="6"/>
  <c r="O162" i="6"/>
  <c r="O161" i="6"/>
  <c r="O160" i="6"/>
  <c r="O159" i="6"/>
  <c r="O158" i="6"/>
  <c r="O155" i="6"/>
  <c r="O157" i="6"/>
  <c r="O156" i="6"/>
  <c r="O154" i="6"/>
  <c r="G215" i="5" l="1"/>
  <c r="L7" i="10"/>
  <c r="N7" i="10" a="1"/>
  <c r="N7" i="10" s="1"/>
  <c r="G21" i="9"/>
  <c r="L153" i="6"/>
  <c r="N153" i="6" a="1"/>
  <c r="N153" i="6" s="1"/>
  <c r="L152" i="6"/>
  <c r="N152" i="6" a="1"/>
  <c r="N152" i="6" s="1"/>
  <c r="G214" i="5"/>
  <c r="L151" i="6"/>
  <c r="N151" i="6" a="1"/>
  <c r="N151" i="6" s="1"/>
  <c r="L150" i="6"/>
  <c r="N150" i="6" a="1"/>
  <c r="N150" i="6" s="1"/>
  <c r="G213" i="5"/>
  <c r="G212" i="5"/>
  <c r="L149" i="6"/>
  <c r="N149" i="6" a="1"/>
  <c r="N149" i="6" s="1"/>
  <c r="G211" i="5"/>
  <c r="L148" i="6"/>
  <c r="N148" i="6" a="1"/>
  <c r="N148" i="6" s="1"/>
  <c r="G20" i="9"/>
  <c r="G210" i="5"/>
  <c r="L147" i="6"/>
  <c r="N147" i="6" a="1"/>
  <c r="N147" i="6" s="1"/>
  <c r="G209" i="5"/>
  <c r="L146" i="6"/>
  <c r="N146" i="6" a="1"/>
  <c r="N146" i="6" s="1"/>
  <c r="G208" i="5"/>
  <c r="L145" i="6"/>
  <c r="N145" i="6" a="1"/>
  <c r="N145" i="6" s="1"/>
  <c r="L144" i="6"/>
  <c r="N144" i="6" a="1"/>
  <c r="N144" i="6" s="1"/>
  <c r="L6" i="10"/>
  <c r="N6" i="10" a="1"/>
  <c r="N6" i="10" s="1"/>
  <c r="L143" i="6"/>
  <c r="N143" i="6" a="1"/>
  <c r="N143" i="6" s="1"/>
  <c r="O7" i="10" l="1"/>
  <c r="O153" i="6"/>
  <c r="O152" i="6"/>
  <c r="O151" i="6"/>
  <c r="O150" i="6"/>
  <c r="O149" i="6"/>
  <c r="O148" i="6"/>
  <c r="O147" i="6"/>
  <c r="O146" i="6"/>
  <c r="O145" i="6"/>
  <c r="O144" i="6"/>
  <c r="O143" i="6"/>
  <c r="O6" i="10"/>
  <c r="L142" i="6"/>
  <c r="N142" i="6" a="1"/>
  <c r="N142" i="6" s="1"/>
  <c r="G207" i="5"/>
  <c r="L141" i="6"/>
  <c r="N141" i="6" a="1"/>
  <c r="N141" i="6" s="1"/>
  <c r="G206" i="5"/>
  <c r="L140" i="6"/>
  <c r="N140" i="6" a="1"/>
  <c r="N140" i="6" s="1"/>
  <c r="G205" i="5"/>
  <c r="L138" i="6"/>
  <c r="N138" i="6" a="1"/>
  <c r="N138" i="6" s="1"/>
  <c r="G204" i="5"/>
  <c r="O141" i="6" l="1"/>
  <c r="O142" i="6"/>
  <c r="O140" i="6"/>
  <c r="O138" i="6"/>
  <c r="G203" i="5" l="1"/>
  <c r="G202" i="5"/>
  <c r="G201" i="5"/>
  <c r="G200" i="5"/>
  <c r="L137" i="6" l="1"/>
  <c r="N137" i="6" a="1"/>
  <c r="N137" i="6" s="1"/>
  <c r="L136" i="6"/>
  <c r="N136" i="6" a="1"/>
  <c r="N136" i="6" s="1"/>
  <c r="O137" i="6" l="1"/>
  <c r="O136" i="6"/>
  <c r="M2" i="17"/>
  <c r="M3" i="17"/>
  <c r="M4" i="17"/>
  <c r="J7" i="17" a="1"/>
  <c r="J7" i="17" s="1"/>
  <c r="A7" i="17" a="1"/>
  <c r="A7" i="17" s="1"/>
  <c r="D4" i="17"/>
  <c r="D2" i="17"/>
  <c r="D3" i="17"/>
  <c r="G19" i="9"/>
  <c r="L135" i="6" l="1"/>
  <c r="N135" i="6" a="1"/>
  <c r="N135" i="6" s="1"/>
  <c r="O135" i="6" l="1"/>
  <c r="L139" i="6"/>
  <c r="N139" i="6" a="1"/>
  <c r="N139" i="6" s="1"/>
  <c r="G199" i="5"/>
  <c r="O139" i="6" l="1"/>
  <c r="L134" i="6"/>
  <c r="N134" i="6" a="1"/>
  <c r="N134" i="6" s="1"/>
  <c r="G198" i="5"/>
  <c r="O134" i="6" l="1"/>
  <c r="L133" i="6"/>
  <c r="N133" i="6" a="1"/>
  <c r="N133" i="6" s="1"/>
  <c r="O133" i="6" l="1"/>
  <c r="L132" i="6"/>
  <c r="N132" i="6" a="1"/>
  <c r="N132" i="6" s="1"/>
  <c r="G197" i="5"/>
  <c r="L131" i="6"/>
  <c r="N131" i="6" a="1"/>
  <c r="N131" i="6" s="1"/>
  <c r="G195" i="5"/>
  <c r="G196" i="5"/>
  <c r="G194" i="5"/>
  <c r="L130" i="6"/>
  <c r="N130" i="6" a="1"/>
  <c r="N130" i="6" s="1"/>
  <c r="L129" i="6"/>
  <c r="N129" i="6" a="1"/>
  <c r="N129" i="6" s="1"/>
  <c r="G193" i="5"/>
  <c r="G192" i="5"/>
  <c r="G191" i="5"/>
  <c r="G190" i="5"/>
  <c r="L128" i="6"/>
  <c r="N128" i="6" a="1"/>
  <c r="N128" i="6" s="1"/>
  <c r="B37" i="14"/>
  <c r="B36" i="14"/>
  <c r="B27" i="14"/>
  <c r="B24" i="14"/>
  <c r="J10" i="14"/>
  <c r="B26" i="14"/>
  <c r="B11" i="14"/>
  <c r="J9" i="14"/>
  <c r="B17" i="14"/>
  <c r="J8" i="14"/>
  <c r="B15" i="14"/>
  <c r="B16" i="14"/>
  <c r="B14" i="14"/>
  <c r="J2" i="14"/>
  <c r="J7" i="14"/>
  <c r="L127" i="6"/>
  <c r="N127" i="6" a="1"/>
  <c r="N127" i="6" s="1"/>
  <c r="O132" i="6" l="1"/>
  <c r="O131" i="6"/>
  <c r="O130" i="6"/>
  <c r="O129" i="6"/>
  <c r="O128" i="6"/>
  <c r="B18" i="14"/>
  <c r="O127" i="6"/>
  <c r="L126" i="6" l="1"/>
  <c r="N126" i="6" a="1"/>
  <c r="N126" i="6" s="1"/>
  <c r="G189" i="5"/>
  <c r="B34" i="14"/>
  <c r="B33" i="14"/>
  <c r="B32" i="14"/>
  <c r="B31" i="14"/>
  <c r="J6" i="14"/>
  <c r="J5" i="14"/>
  <c r="B21" i="14" s="1"/>
  <c r="B23" i="14" s="1"/>
  <c r="B7" i="14"/>
  <c r="L125" i="6"/>
  <c r="N125" i="6" a="1"/>
  <c r="N125" i="6" s="1"/>
  <c r="J4" i="14"/>
  <c r="B9" i="14" s="1"/>
  <c r="J3" i="14"/>
  <c r="B8" i="14" s="1"/>
  <c r="B3" i="14"/>
  <c r="B10" i="14" s="1"/>
  <c r="O126" i="6" l="1"/>
  <c r="E14" i="12"/>
  <c r="O125" i="6"/>
  <c r="G188" i="5" l="1"/>
  <c r="L124" i="6"/>
  <c r="N124" i="6" a="1"/>
  <c r="N124" i="6" s="1"/>
  <c r="O124" i="6" l="1"/>
  <c r="G18" i="9"/>
  <c r="L122" i="6"/>
  <c r="N122" i="6" a="1"/>
  <c r="N122" i="6" s="1"/>
  <c r="L123" i="6"/>
  <c r="N123" i="6" a="1"/>
  <c r="N123" i="6" s="1"/>
  <c r="G187" i="5"/>
  <c r="G186" i="5"/>
  <c r="G185" i="5"/>
  <c r="G184" i="5"/>
  <c r="L121" i="6"/>
  <c r="N121" i="6" a="1"/>
  <c r="N121" i="6" s="1"/>
  <c r="N2" i="10" a="1"/>
  <c r="N2" i="10" s="1"/>
  <c r="N3" i="10" a="1"/>
  <c r="N3" i="10" s="1"/>
  <c r="N4" i="10" a="1"/>
  <c r="N4" i="10" s="1"/>
  <c r="N5" i="10" a="1"/>
  <c r="N5" i="10" s="1"/>
  <c r="L2" i="10"/>
  <c r="L3" i="10"/>
  <c r="L4" i="10"/>
  <c r="L5" i="10"/>
  <c r="N2" i="6" a="1"/>
  <c r="N2" i="6" s="1"/>
  <c r="N3" i="6" a="1"/>
  <c r="N3" i="6" s="1"/>
  <c r="N4" i="6" a="1"/>
  <c r="N4" i="6" s="1"/>
  <c r="N5" i="6" a="1"/>
  <c r="N5" i="6" s="1"/>
  <c r="N6" i="6" a="1"/>
  <c r="N6" i="6" s="1"/>
  <c r="N7" i="6" a="1"/>
  <c r="N7" i="6" s="1"/>
  <c r="N8" i="6" a="1"/>
  <c r="N8" i="6" s="1"/>
  <c r="N9" i="6" a="1"/>
  <c r="N9" i="6" s="1"/>
  <c r="N10" i="6" a="1"/>
  <c r="N10" i="6" s="1"/>
  <c r="N11" i="6" a="1"/>
  <c r="N11" i="6" s="1"/>
  <c r="N12" i="6" a="1"/>
  <c r="N12" i="6" s="1"/>
  <c r="N13" i="6" a="1"/>
  <c r="N13" i="6" s="1"/>
  <c r="N14" i="6" a="1"/>
  <c r="N14" i="6" s="1"/>
  <c r="N15" i="6" a="1"/>
  <c r="N15" i="6" s="1"/>
  <c r="N16" i="6" a="1"/>
  <c r="N16" i="6" s="1"/>
  <c r="N17" i="6" a="1"/>
  <c r="N17" i="6" s="1"/>
  <c r="N18" i="6" a="1"/>
  <c r="N18" i="6" s="1"/>
  <c r="N19" i="6" a="1"/>
  <c r="N19" i="6" s="1"/>
  <c r="N20" i="6" a="1"/>
  <c r="N20" i="6" s="1"/>
  <c r="N21" i="6" a="1"/>
  <c r="N21" i="6" s="1"/>
  <c r="N22" i="6" a="1"/>
  <c r="N22" i="6" s="1"/>
  <c r="N23" i="6" a="1"/>
  <c r="N23" i="6" s="1"/>
  <c r="N24" i="6" a="1"/>
  <c r="N24" i="6" s="1"/>
  <c r="N25" i="6" a="1"/>
  <c r="N25" i="6" s="1"/>
  <c r="N26" i="6" a="1"/>
  <c r="N26" i="6" s="1"/>
  <c r="N27" i="6" a="1"/>
  <c r="N27" i="6" s="1"/>
  <c r="N28" i="6" a="1"/>
  <c r="N28" i="6" s="1"/>
  <c r="N29" i="6" a="1"/>
  <c r="N29" i="6" s="1"/>
  <c r="N30" i="6" a="1"/>
  <c r="N30" i="6" s="1"/>
  <c r="N31" i="6" a="1"/>
  <c r="N31" i="6" s="1"/>
  <c r="N32" i="6" a="1"/>
  <c r="N32" i="6" s="1"/>
  <c r="N33" i="6" a="1"/>
  <c r="N33" i="6" s="1"/>
  <c r="N34" i="6" a="1"/>
  <c r="N34" i="6" s="1"/>
  <c r="N35" i="6" a="1"/>
  <c r="N35" i="6" s="1"/>
  <c r="N36" i="6" a="1"/>
  <c r="N36" i="6" s="1"/>
  <c r="N37" i="6" a="1"/>
  <c r="N37" i="6" s="1"/>
  <c r="N38" i="6" a="1"/>
  <c r="N38" i="6" s="1"/>
  <c r="N39" i="6" a="1"/>
  <c r="N39" i="6" s="1"/>
  <c r="N40" i="6" a="1"/>
  <c r="N40" i="6" s="1"/>
  <c r="N41" i="6" a="1"/>
  <c r="N41" i="6" s="1"/>
  <c r="N42" i="6" a="1"/>
  <c r="N42" i="6" s="1"/>
  <c r="N43" i="6" a="1"/>
  <c r="N43" i="6" s="1"/>
  <c r="N44" i="6" a="1"/>
  <c r="N44" i="6" s="1"/>
  <c r="N45" i="6" a="1"/>
  <c r="N45" i="6" s="1"/>
  <c r="N46" i="6" a="1"/>
  <c r="N46" i="6" s="1"/>
  <c r="N47" i="6" a="1"/>
  <c r="N47" i="6" s="1"/>
  <c r="N48" i="6" a="1"/>
  <c r="N48" i="6" s="1"/>
  <c r="N49" i="6" a="1"/>
  <c r="N49" i="6" s="1"/>
  <c r="N50" i="6" a="1"/>
  <c r="N50" i="6" s="1"/>
  <c r="N51" i="6" a="1"/>
  <c r="N51" i="6" s="1"/>
  <c r="N52" i="6" a="1"/>
  <c r="N52" i="6" s="1"/>
  <c r="N53" i="6" a="1"/>
  <c r="N53" i="6" s="1"/>
  <c r="N54" i="6" a="1"/>
  <c r="N54" i="6" s="1"/>
  <c r="N55" i="6" a="1"/>
  <c r="N55" i="6" s="1"/>
  <c r="N56" i="6" a="1"/>
  <c r="N56" i="6" s="1"/>
  <c r="N57" i="6" a="1"/>
  <c r="N57" i="6" s="1"/>
  <c r="N58" i="6" a="1"/>
  <c r="N58" i="6" s="1"/>
  <c r="N59" i="6" a="1"/>
  <c r="N59" i="6" s="1"/>
  <c r="N60" i="6" a="1"/>
  <c r="N60" i="6" s="1"/>
  <c r="N61" i="6" a="1"/>
  <c r="N61" i="6" s="1"/>
  <c r="N62" i="6" a="1"/>
  <c r="N62" i="6" s="1"/>
  <c r="N63" i="6" a="1"/>
  <c r="N63" i="6" s="1"/>
  <c r="N64" i="6" a="1"/>
  <c r="N64" i="6" s="1"/>
  <c r="N65" i="6" a="1"/>
  <c r="N65" i="6" s="1"/>
  <c r="N66" i="6" a="1"/>
  <c r="N66" i="6" s="1"/>
  <c r="N67" i="6" a="1"/>
  <c r="N67" i="6" s="1"/>
  <c r="N68" i="6" a="1"/>
  <c r="N68" i="6" s="1"/>
  <c r="N69" i="6" a="1"/>
  <c r="N69" i="6" s="1"/>
  <c r="N70" i="6" a="1"/>
  <c r="N70" i="6" s="1"/>
  <c r="N71" i="6" a="1"/>
  <c r="N71" i="6" s="1"/>
  <c r="N72" i="6" a="1"/>
  <c r="N72" i="6" s="1"/>
  <c r="N73" i="6" a="1"/>
  <c r="N73" i="6" s="1"/>
  <c r="N74" i="6" a="1"/>
  <c r="N74" i="6" s="1"/>
  <c r="N75" i="6" a="1"/>
  <c r="N75" i="6" s="1"/>
  <c r="N76" i="6" a="1"/>
  <c r="N76" i="6" s="1"/>
  <c r="N77" i="6" a="1"/>
  <c r="N77" i="6" s="1"/>
  <c r="N78" i="6" a="1"/>
  <c r="N78" i="6" s="1"/>
  <c r="N79" i="6" a="1"/>
  <c r="N79" i="6" s="1"/>
  <c r="N80" i="6" a="1"/>
  <c r="N80" i="6" s="1"/>
  <c r="N81" i="6" a="1"/>
  <c r="N81" i="6" s="1"/>
  <c r="N82" i="6" a="1"/>
  <c r="N82" i="6" s="1"/>
  <c r="N83" i="6" a="1"/>
  <c r="N83" i="6" s="1"/>
  <c r="N84" i="6" a="1"/>
  <c r="N84" i="6" s="1"/>
  <c r="N85" i="6" a="1"/>
  <c r="N85" i="6" s="1"/>
  <c r="N86" i="6" a="1"/>
  <c r="N86" i="6" s="1"/>
  <c r="N87" i="6" a="1"/>
  <c r="N87" i="6" s="1"/>
  <c r="N88" i="6" a="1"/>
  <c r="N88" i="6" s="1"/>
  <c r="N89" i="6" a="1"/>
  <c r="N89" i="6" s="1"/>
  <c r="N90" i="6" a="1"/>
  <c r="N90" i="6" s="1"/>
  <c r="N91" i="6" a="1"/>
  <c r="N91" i="6" s="1"/>
  <c r="N92" i="6" a="1"/>
  <c r="N92" i="6" s="1"/>
  <c r="N93" i="6" a="1"/>
  <c r="N93" i="6" s="1"/>
  <c r="N94" i="6" a="1"/>
  <c r="N94" i="6" s="1"/>
  <c r="N95" i="6" a="1"/>
  <c r="N95" i="6" s="1"/>
  <c r="N96" i="6" a="1"/>
  <c r="N96" i="6" s="1"/>
  <c r="N97" i="6" a="1"/>
  <c r="N97" i="6" s="1"/>
  <c r="N98" i="6" a="1"/>
  <c r="N98" i="6" s="1"/>
  <c r="N99" i="6" a="1"/>
  <c r="N99" i="6" s="1"/>
  <c r="N100" i="6" a="1"/>
  <c r="N100" i="6" s="1"/>
  <c r="N101" i="6" a="1"/>
  <c r="N101" i="6" s="1"/>
  <c r="N102" i="6" a="1"/>
  <c r="N102" i="6" s="1"/>
  <c r="N103" i="6" a="1"/>
  <c r="N103" i="6" s="1"/>
  <c r="N104" i="6" a="1"/>
  <c r="N104" i="6" s="1"/>
  <c r="N105" i="6" a="1"/>
  <c r="N105" i="6" s="1"/>
  <c r="N106" i="6" a="1"/>
  <c r="N106" i="6" s="1"/>
  <c r="N107" i="6" a="1"/>
  <c r="N107" i="6" s="1"/>
  <c r="N108" i="6" a="1"/>
  <c r="N108" i="6" s="1"/>
  <c r="N109" i="6" a="1"/>
  <c r="N109" i="6" s="1"/>
  <c r="N110" i="6" a="1"/>
  <c r="N110" i="6" s="1"/>
  <c r="N111" i="6" a="1"/>
  <c r="N111" i="6" s="1"/>
  <c r="N112" i="6" a="1"/>
  <c r="N112" i="6" s="1"/>
  <c r="N113" i="6" a="1"/>
  <c r="N113" i="6" s="1"/>
  <c r="N114" i="6" a="1"/>
  <c r="N114" i="6" s="1"/>
  <c r="N115" i="6" a="1"/>
  <c r="N115" i="6" s="1"/>
  <c r="N116" i="6" a="1"/>
  <c r="N116" i="6" s="1"/>
  <c r="N117" i="6" a="1"/>
  <c r="N117" i="6" s="1"/>
  <c r="N118" i="6" a="1"/>
  <c r="N118" i="6" s="1"/>
  <c r="N119" i="6" a="1"/>
  <c r="N119" i="6" s="1"/>
  <c r="N120" i="6" a="1"/>
  <c r="N120" i="6" s="1"/>
  <c r="L54" i="6"/>
  <c r="L95" i="6"/>
  <c r="L108" i="6"/>
  <c r="L68" i="6"/>
  <c r="L20" i="6"/>
  <c r="L2" i="6"/>
  <c r="L66" i="6"/>
  <c r="L111" i="6"/>
  <c r="L118" i="6"/>
  <c r="L117" i="6"/>
  <c r="L119" i="6"/>
  <c r="L31" i="6"/>
  <c r="L72" i="6"/>
  <c r="L96" i="6"/>
  <c r="L65" i="6"/>
  <c r="L113" i="6"/>
  <c r="L3" i="6"/>
  <c r="L5" i="6"/>
  <c r="L116" i="6"/>
  <c r="L76" i="6"/>
  <c r="L99" i="6"/>
  <c r="L19" i="6"/>
  <c r="L30" i="6"/>
  <c r="L73" i="6"/>
  <c r="L74" i="6"/>
  <c r="L43" i="6"/>
  <c r="L81" i="6"/>
  <c r="L57" i="6"/>
  <c r="L38" i="6"/>
  <c r="L104" i="6"/>
  <c r="L105" i="6"/>
  <c r="L37" i="6"/>
  <c r="L84" i="6"/>
  <c r="L78" i="6"/>
  <c r="L93" i="6"/>
  <c r="L62" i="6"/>
  <c r="L63" i="6"/>
  <c r="L67" i="6"/>
  <c r="L110" i="6"/>
  <c r="L21" i="6"/>
  <c r="L26" i="6"/>
  <c r="L27" i="6"/>
  <c r="L33" i="6"/>
  <c r="L115" i="6"/>
  <c r="L64" i="6"/>
  <c r="L89" i="6"/>
  <c r="L109" i="6"/>
  <c r="L28" i="6"/>
  <c r="L42" i="6"/>
  <c r="L55" i="6"/>
  <c r="L32" i="6"/>
  <c r="L75" i="6"/>
  <c r="L8" i="6"/>
  <c r="L13" i="6"/>
  <c r="L23" i="6"/>
  <c r="L24" i="6"/>
  <c r="L71" i="6"/>
  <c r="L48" i="6"/>
  <c r="L49" i="6"/>
  <c r="L50" i="6"/>
  <c r="L51" i="6"/>
  <c r="L60" i="6"/>
  <c r="L92" i="6"/>
  <c r="L107" i="6"/>
  <c r="L44" i="6"/>
  <c r="L45" i="6"/>
  <c r="L46" i="6"/>
  <c r="L47" i="6"/>
  <c r="L52" i="6"/>
  <c r="L53" i="6"/>
  <c r="L97" i="6"/>
  <c r="L29" i="6"/>
  <c r="L61" i="6"/>
  <c r="L69" i="6"/>
  <c r="L56" i="6"/>
  <c r="L112" i="6"/>
  <c r="L11" i="6"/>
  <c r="L12" i="6"/>
  <c r="L35" i="6"/>
  <c r="L36" i="6"/>
  <c r="L79" i="6"/>
  <c r="L106" i="6"/>
  <c r="L87" i="6"/>
  <c r="L91" i="6"/>
  <c r="L4" i="6"/>
  <c r="L14" i="6"/>
  <c r="L15" i="6"/>
  <c r="L18" i="6"/>
  <c r="L25" i="6"/>
  <c r="L58" i="6"/>
  <c r="L77" i="6"/>
  <c r="L94" i="6"/>
  <c r="L98" i="6"/>
  <c r="L100" i="6"/>
  <c r="L102" i="6"/>
  <c r="L70" i="6"/>
  <c r="L86" i="6"/>
  <c r="L101" i="6"/>
  <c r="L80" i="6"/>
  <c r="L90" i="6"/>
  <c r="L22" i="6"/>
  <c r="L39" i="6"/>
  <c r="L41" i="6"/>
  <c r="L82" i="6"/>
  <c r="L83" i="6"/>
  <c r="L88" i="6"/>
  <c r="L6" i="6"/>
  <c r="L7" i="6"/>
  <c r="L10" i="6"/>
  <c r="L40" i="6"/>
  <c r="L59" i="6"/>
  <c r="L17" i="6"/>
  <c r="L85" i="6"/>
  <c r="L9" i="6"/>
  <c r="L103" i="6"/>
  <c r="L34" i="6"/>
  <c r="L16" i="6"/>
  <c r="L114" i="6"/>
  <c r="L120" i="6"/>
  <c r="O122" i="6" l="1"/>
  <c r="O123" i="6"/>
  <c r="O121" i="6"/>
  <c r="O120" i="6"/>
  <c r="G183" i="5"/>
  <c r="G182" i="5" l="1"/>
  <c r="G181" i="5"/>
  <c r="G180" i="5"/>
  <c r="O5" i="10"/>
  <c r="G17" i="9"/>
  <c r="O117" i="6"/>
  <c r="O118" i="6"/>
  <c r="G179" i="5"/>
  <c r="C32" i="12"/>
  <c r="C34" i="12" s="1"/>
  <c r="B26" i="12"/>
  <c r="B34" i="12"/>
  <c r="C14" i="12"/>
  <c r="B15" i="12"/>
  <c r="C15" i="12" s="1"/>
  <c r="B9" i="12"/>
  <c r="C9" i="12" s="1"/>
  <c r="B11" i="12"/>
  <c r="C11" i="12" s="1"/>
  <c r="B8" i="12"/>
  <c r="C8" i="12" s="1"/>
  <c r="B7" i="12" s="1"/>
  <c r="C6" i="12"/>
  <c r="C5" i="12"/>
  <c r="E8" i="12"/>
  <c r="E6" i="12"/>
  <c r="E4" i="12"/>
  <c r="O119" i="6" l="1"/>
  <c r="B29" i="12"/>
  <c r="B10" i="12"/>
  <c r="C10" i="12" s="1"/>
  <c r="G178" i="5"/>
  <c r="G177" i="5"/>
  <c r="O116" i="6"/>
  <c r="G176" i="5" l="1"/>
  <c r="O115" i="6" l="1"/>
  <c r="G16" i="9"/>
  <c r="G175" i="5"/>
  <c r="G173" i="5" l="1"/>
  <c r="G174" i="5"/>
  <c r="O114" i="6"/>
  <c r="O113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O112" i="6"/>
  <c r="O111" i="6" l="1"/>
  <c r="O110" i="6"/>
  <c r="O109" i="6"/>
  <c r="O108" i="6" l="1"/>
  <c r="O107" i="6" l="1"/>
  <c r="O106" i="6" l="1"/>
  <c r="O104" i="6" l="1"/>
  <c r="O105" i="6"/>
  <c r="O103" i="6"/>
  <c r="O102" i="6" l="1"/>
  <c r="O4" i="10"/>
  <c r="O2" i="10"/>
  <c r="O3" i="10"/>
  <c r="O100" i="6" l="1"/>
  <c r="O101" i="6"/>
  <c r="O99" i="6"/>
  <c r="O49" i="6"/>
  <c r="O36" i="6"/>
  <c r="O35" i="6"/>
  <c r="O28" i="6"/>
  <c r="O26" i="6"/>
  <c r="O21" i="6"/>
  <c r="O17" i="6"/>
  <c r="O12" i="6"/>
  <c r="O11" i="6"/>
  <c r="O5" i="6"/>
  <c r="O4" i="6"/>
  <c r="O3" i="6"/>
  <c r="O2" i="6"/>
  <c r="O6" i="6"/>
  <c r="O7" i="6"/>
  <c r="O8" i="6"/>
  <c r="O9" i="6"/>
  <c r="O10" i="6"/>
  <c r="O13" i="6"/>
  <c r="O14" i="6"/>
  <c r="O15" i="6"/>
  <c r="O16" i="6"/>
  <c r="O18" i="6"/>
  <c r="O19" i="6"/>
  <c r="O20" i="6"/>
  <c r="O22" i="6"/>
  <c r="O23" i="6"/>
  <c r="O24" i="6"/>
  <c r="O25" i="6"/>
  <c r="O27" i="6"/>
  <c r="O29" i="6"/>
  <c r="O30" i="6"/>
  <c r="O31" i="6"/>
  <c r="O32" i="6"/>
  <c r="O33" i="6"/>
  <c r="O34" i="6"/>
  <c r="O37" i="6"/>
  <c r="O38" i="6"/>
  <c r="O39" i="6"/>
  <c r="O40" i="6"/>
  <c r="O41" i="6"/>
  <c r="O42" i="6"/>
  <c r="O43" i="6"/>
  <c r="O44" i="6"/>
  <c r="O45" i="6"/>
  <c r="O46" i="6"/>
  <c r="O47" i="6"/>
  <c r="O48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K56" i="1"/>
  <c r="K53" i="1"/>
  <c r="B37" i="12" l="1" a="1"/>
  <c r="B37" i="12" s="1"/>
  <c r="K115" i="1"/>
  <c r="K114" i="1"/>
  <c r="K52" i="1"/>
  <c r="C37" i="12" l="1" a="1"/>
  <c r="C37" i="12" s="1"/>
  <c r="K63" i="1"/>
  <c r="K113" i="1"/>
  <c r="K112" i="1"/>
  <c r="K48" i="1" l="1"/>
  <c r="K111" i="1" l="1"/>
  <c r="K99" i="1"/>
  <c r="K102" i="1"/>
  <c r="K104" i="1"/>
  <c r="K105" i="1"/>
  <c r="K42" i="1"/>
  <c r="K106" i="1"/>
  <c r="K107" i="1"/>
  <c r="K108" i="1"/>
  <c r="K44" i="1"/>
  <c r="K110" i="1"/>
  <c r="K43" i="1"/>
  <c r="K45" i="1"/>
  <c r="K109" i="1"/>
  <c r="K46" i="1"/>
  <c r="K37" i="1" l="1"/>
  <c r="K39" i="1"/>
  <c r="K40" i="1"/>
  <c r="K41" i="1"/>
  <c r="K38" i="1"/>
  <c r="K32" i="1"/>
  <c r="K9" i="1"/>
  <c r="K100" i="1"/>
  <c r="K26" i="1"/>
  <c r="K27" i="1"/>
  <c r="K30" i="1"/>
  <c r="K25" i="1"/>
  <c r="K97" i="1"/>
  <c r="K98" i="1"/>
  <c r="K17" i="1"/>
  <c r="K16" i="1"/>
  <c r="K29" i="1"/>
  <c r="K21" i="1"/>
  <c r="K20" i="1"/>
  <c r="K23" i="1"/>
  <c r="K96" i="1" l="1"/>
  <c r="K31" i="1"/>
  <c r="K19" i="1" l="1"/>
  <c r="K13" i="1"/>
  <c r="K15" i="1"/>
  <c r="K22" i="1"/>
  <c r="K14" i="1"/>
  <c r="K8" i="1"/>
  <c r="K24" i="1" l="1"/>
  <c r="K94" i="1"/>
  <c r="K93" i="1"/>
  <c r="K10" i="1"/>
  <c r="K7" i="1"/>
  <c r="K6" i="1"/>
  <c r="K95" i="1" l="1"/>
  <c r="K4" i="1" l="1"/>
  <c r="K5" i="1"/>
  <c r="K28" i="1"/>
  <c r="K47" i="1"/>
  <c r="K3" i="1"/>
  <c r="K18" i="1"/>
  <c r="K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<sst xmlns="http://schemas.openxmlformats.org/spreadsheetml/2006/main" count="6814" uniqueCount="1771">
  <si>
    <t>CLIENTE</t>
  </si>
  <si>
    <t>OS</t>
  </si>
  <si>
    <t>Mondelez</t>
  </si>
  <si>
    <t>Volkswagen</t>
  </si>
  <si>
    <t>In Haus</t>
  </si>
  <si>
    <t>Renault</t>
  </si>
  <si>
    <t>XML</t>
  </si>
  <si>
    <t>PDF</t>
  </si>
  <si>
    <t>Sig</t>
  </si>
  <si>
    <t>VALOR</t>
  </si>
  <si>
    <t>TOTAL</t>
  </si>
  <si>
    <t>REF</t>
  </si>
  <si>
    <t>OK</t>
  </si>
  <si>
    <t>0982/25</t>
  </si>
  <si>
    <t>Coopavel</t>
  </si>
  <si>
    <t>-</t>
  </si>
  <si>
    <t>ok</t>
  </si>
  <si>
    <t>DPS</t>
  </si>
  <si>
    <t>0978/25</t>
  </si>
  <si>
    <t>0977/25</t>
  </si>
  <si>
    <t>PDFs</t>
  </si>
  <si>
    <t>0947/25</t>
  </si>
  <si>
    <t>1069/25</t>
  </si>
  <si>
    <t>0645/25</t>
  </si>
  <si>
    <t>0455/25</t>
  </si>
  <si>
    <t>Filial 17 - Condor</t>
  </si>
  <si>
    <t>Triermach</t>
  </si>
  <si>
    <t>0845/25</t>
  </si>
  <si>
    <t>Graham Pack</t>
  </si>
  <si>
    <t>0989/24</t>
  </si>
  <si>
    <t>0115/25</t>
  </si>
  <si>
    <t>OBSERVAÇÕES</t>
  </si>
  <si>
    <t>0317/25</t>
  </si>
  <si>
    <t>1051/25</t>
  </si>
  <si>
    <t>Callfarma</t>
  </si>
  <si>
    <t>API SPE 46</t>
  </si>
  <si>
    <t>1015/25</t>
  </si>
  <si>
    <t>1006/25</t>
  </si>
  <si>
    <t>DVS</t>
  </si>
  <si>
    <t>Gold</t>
  </si>
  <si>
    <t>Hospital Santa Cruz</t>
  </si>
  <si>
    <t>Hospital Union</t>
  </si>
  <si>
    <t>Ebanx</t>
  </si>
  <si>
    <t>Liga das Senhoras</t>
  </si>
  <si>
    <t>0646/25</t>
  </si>
  <si>
    <t>JJGC</t>
  </si>
  <si>
    <t>Filial 28 - Condor</t>
  </si>
  <si>
    <t>Filial 01 - Condor</t>
  </si>
  <si>
    <t>NFS-e</t>
  </si>
  <si>
    <t>NF-e</t>
  </si>
  <si>
    <t>Duotec</t>
  </si>
  <si>
    <t>0483/25</t>
  </si>
  <si>
    <t>Centro Empresarial Glaser</t>
  </si>
  <si>
    <t>L&amp;F Vidros</t>
  </si>
  <si>
    <t>0945/25</t>
  </si>
  <si>
    <t>0593/25</t>
  </si>
  <si>
    <t>API SBE 46</t>
  </si>
  <si>
    <t>Cancelada</t>
  </si>
  <si>
    <t>Graffo</t>
  </si>
  <si>
    <t>NB Engenharia</t>
  </si>
  <si>
    <t>4L Serviços</t>
  </si>
  <si>
    <t>0636/25</t>
  </si>
  <si>
    <t>M.A. Goulart</t>
  </si>
  <si>
    <t>Farmácia Pavesi</t>
  </si>
  <si>
    <t>Sumitomo</t>
  </si>
  <si>
    <t>Doacir F</t>
  </si>
  <si>
    <t>Tecnodock</t>
  </si>
  <si>
    <t>Rissi</t>
  </si>
  <si>
    <t>Manusa</t>
  </si>
  <si>
    <t>0983/25</t>
  </si>
  <si>
    <t>Devolução</t>
  </si>
  <si>
    <t>Calpie</t>
  </si>
  <si>
    <t>Fast Pintura</t>
  </si>
  <si>
    <t>Design Ferragens</t>
  </si>
  <si>
    <t>Venda Sucata</t>
  </si>
  <si>
    <t>Retorno</t>
  </si>
  <si>
    <t>Recusada / Cancelar</t>
  </si>
  <si>
    <t>STATUS</t>
  </si>
  <si>
    <t>TASK</t>
  </si>
  <si>
    <t>OBS</t>
  </si>
  <si>
    <t>DATE</t>
  </si>
  <si>
    <t>Molhar Plantas</t>
  </si>
  <si>
    <t>DONE</t>
  </si>
  <si>
    <t>Parth</t>
  </si>
  <si>
    <t>Orçamento - Premisse</t>
  </si>
  <si>
    <t>Orçamento - Procuradoria</t>
  </si>
  <si>
    <t>Lightera</t>
  </si>
  <si>
    <t>PGE/PR</t>
  </si>
  <si>
    <t>Hotel 10</t>
  </si>
  <si>
    <t>Orçamento - Confiance</t>
  </si>
  <si>
    <t>Orçamento - Hotel 10</t>
  </si>
  <si>
    <t>Orçamento - Lari Rosa</t>
  </si>
  <si>
    <t>Lançar Pagamentos</t>
  </si>
  <si>
    <t>Orçamento - Cattalini Terminais</t>
  </si>
  <si>
    <t>Cia Beal</t>
  </si>
  <si>
    <t>Associação Franciscana</t>
  </si>
  <si>
    <t>02 Bateria Visio+ 125</t>
  </si>
  <si>
    <t>Orçamento - Bom Jesus</t>
  </si>
  <si>
    <t>Parametrização - VHSYS</t>
  </si>
  <si>
    <t>Orçamento - Ibis Centro Cívico</t>
  </si>
  <si>
    <t>Orçamento - JRM Esquadrias</t>
  </si>
  <si>
    <t>OS #1364</t>
  </si>
  <si>
    <t>Orçamento - Condor Barreirinha</t>
  </si>
  <si>
    <t>OS #1365</t>
  </si>
  <si>
    <t>Carta Correção NFS-e 62</t>
  </si>
  <si>
    <t>OS #1328</t>
  </si>
  <si>
    <t>Add e-mail Cia Beal</t>
  </si>
  <si>
    <t>OS #1366</t>
  </si>
  <si>
    <t>Orçamento - Palladium</t>
  </si>
  <si>
    <t>Orçamento - Patio Batel</t>
  </si>
  <si>
    <t>Orçamento - Memphis</t>
  </si>
  <si>
    <t>Orçamento - Mueller</t>
  </si>
  <si>
    <t>Orçamento - VW</t>
  </si>
  <si>
    <t>Orçamento - Hotel Qoya</t>
  </si>
  <si>
    <t>Orçamento - Berneck</t>
  </si>
  <si>
    <t>OS #1367</t>
  </si>
  <si>
    <t>Orçamento - Enaex</t>
  </si>
  <si>
    <t>OS #1368</t>
  </si>
  <si>
    <t>OS #1369</t>
  </si>
  <si>
    <t>OS #1370</t>
  </si>
  <si>
    <t>Orçamento - Glaser</t>
  </si>
  <si>
    <t>OS #1371</t>
  </si>
  <si>
    <t>OS #1372</t>
  </si>
  <si>
    <t>OS #1373</t>
  </si>
  <si>
    <t>OS #1374</t>
  </si>
  <si>
    <t>Orçamento - Prod Serviços</t>
  </si>
  <si>
    <t>OS #1375</t>
  </si>
  <si>
    <t>Orçamento - Planerc</t>
  </si>
  <si>
    <t>OS #1376</t>
  </si>
  <si>
    <t>Orçamento - DAPI</t>
  </si>
  <si>
    <t>OS #1377-78-79</t>
  </si>
  <si>
    <t>OS #1380</t>
  </si>
  <si>
    <t>Orçamento - Cedivida</t>
  </si>
  <si>
    <t>Orçamento - Doorsul</t>
  </si>
  <si>
    <t>Orçamento - Rinaldi CNH</t>
  </si>
  <si>
    <t>Orçamento - Rinaldi Renault</t>
  </si>
  <si>
    <t>Memphis</t>
  </si>
  <si>
    <t>62/37</t>
  </si>
  <si>
    <t>Substituida</t>
  </si>
  <si>
    <t>OFF</t>
  </si>
  <si>
    <t>Orçamento - Dunlop</t>
  </si>
  <si>
    <t>OS #1381</t>
  </si>
  <si>
    <t>OS #1382</t>
  </si>
  <si>
    <t>OS #1383</t>
  </si>
  <si>
    <t>Orçamento - Arauz</t>
  </si>
  <si>
    <t>OS #1384</t>
  </si>
  <si>
    <t>Orçamento - Rissi Espumoso</t>
  </si>
  <si>
    <t>Orçamento - Rissi 5021</t>
  </si>
  <si>
    <t>Orçamento - SIG Print</t>
  </si>
  <si>
    <t>Orçamento - SIG Bobinas</t>
  </si>
  <si>
    <t>Orçamento - Mondelez</t>
  </si>
  <si>
    <t>OS #1385</t>
  </si>
  <si>
    <t>OS #1386</t>
  </si>
  <si>
    <t>OS #1387</t>
  </si>
  <si>
    <t>OS #1388-89</t>
  </si>
  <si>
    <t>OS #1390</t>
  </si>
  <si>
    <t>OS #1391</t>
  </si>
  <si>
    <t>OS #1392</t>
  </si>
  <si>
    <t>OS #1393</t>
  </si>
  <si>
    <t>OS #1394</t>
  </si>
  <si>
    <t>Orçamento - Gelson Occhi</t>
  </si>
  <si>
    <t>OS #1395</t>
  </si>
  <si>
    <t>Alumisistem</t>
  </si>
  <si>
    <t>0463/25</t>
  </si>
  <si>
    <t>Palladium</t>
  </si>
  <si>
    <t>Onet Engenharia</t>
  </si>
  <si>
    <t>Orçamento - Jorge Eduardo</t>
  </si>
  <si>
    <t>Orçamento - Universal Vidros</t>
  </si>
  <si>
    <t>OS #1396-97</t>
  </si>
  <si>
    <t>OS #1398</t>
  </si>
  <si>
    <t>OS #1399-1400</t>
  </si>
  <si>
    <t>OS #1401</t>
  </si>
  <si>
    <t>Orçamento - Casa China</t>
  </si>
  <si>
    <t>Orçamento - Piemonte</t>
  </si>
  <si>
    <t>Orçamento - Onet</t>
  </si>
  <si>
    <t>OS #1403</t>
  </si>
  <si>
    <t>OS #1404</t>
  </si>
  <si>
    <t>OS #1405</t>
  </si>
  <si>
    <t>OS #1407</t>
  </si>
  <si>
    <t>OC 4515371577</t>
  </si>
  <si>
    <t>WAIT</t>
  </si>
  <si>
    <t>Docs Integração</t>
  </si>
  <si>
    <t>OS #1408</t>
  </si>
  <si>
    <t>Fichas OS e EPI's</t>
  </si>
  <si>
    <t>Orçamento - Condor Joinville</t>
  </si>
  <si>
    <t>OS #1409</t>
  </si>
  <si>
    <t>Anderson - ASO</t>
  </si>
  <si>
    <t>Anderson - CNH/RG/CPF</t>
  </si>
  <si>
    <t>Cesla</t>
  </si>
  <si>
    <t>Anderson - NR12</t>
  </si>
  <si>
    <t>Marcio - CNH/RG/CPF</t>
  </si>
  <si>
    <t>Marcio - ASO</t>
  </si>
  <si>
    <t>Marcio - NR12</t>
  </si>
  <si>
    <t>Jeferson - OS/EPI</t>
  </si>
  <si>
    <t>Nilton - OS/EPI</t>
  </si>
  <si>
    <t>Marco - OS/EPI</t>
  </si>
  <si>
    <t>Marcio - OS/EPI</t>
  </si>
  <si>
    <t>Anderson - OS/EPI</t>
  </si>
  <si>
    <t>Mueller - OS #1375</t>
  </si>
  <si>
    <t>Atualizar - Sesi</t>
  </si>
  <si>
    <t>0808/25 - 1054/25</t>
  </si>
  <si>
    <t>808/25 1054/25</t>
  </si>
  <si>
    <t>Casc</t>
  </si>
  <si>
    <t>Hotel Curitiba</t>
  </si>
  <si>
    <t>Baggio</t>
  </si>
  <si>
    <t>OS# 866 e OS #984</t>
  </si>
  <si>
    <t>Importar</t>
  </si>
  <si>
    <t>Fundação PIO XII</t>
  </si>
  <si>
    <t>OS #1323</t>
  </si>
  <si>
    <t xml:space="preserve">OS #1130 </t>
  </si>
  <si>
    <t>OS #916</t>
  </si>
  <si>
    <t>OS #1414</t>
  </si>
  <si>
    <t>OS #1415</t>
  </si>
  <si>
    <t>OS #1416</t>
  </si>
  <si>
    <t>OS #1417</t>
  </si>
  <si>
    <t>OS #1292</t>
  </si>
  <si>
    <t>OS #984</t>
  </si>
  <si>
    <t>OS #866</t>
  </si>
  <si>
    <t>OS #1420</t>
  </si>
  <si>
    <t>OS #1345/25</t>
  </si>
  <si>
    <t>OS #1413</t>
  </si>
  <si>
    <t>OS #1421</t>
  </si>
  <si>
    <t>OS #1422</t>
  </si>
  <si>
    <t>OS #1412</t>
  </si>
  <si>
    <t>Quick Burger</t>
  </si>
  <si>
    <t>Comissão</t>
  </si>
  <si>
    <t>OS #1430</t>
  </si>
  <si>
    <t>OS # 364</t>
  </si>
  <si>
    <t>OS #1431</t>
  </si>
  <si>
    <t>OS #1363</t>
  </si>
  <si>
    <t>OS #1362</t>
  </si>
  <si>
    <t>Orçamento - Cattalini</t>
  </si>
  <si>
    <t>Orçamento - Elst</t>
  </si>
  <si>
    <t>Orçamento - Hotel QOYA</t>
  </si>
  <si>
    <t>Orçamento - Kharina</t>
  </si>
  <si>
    <t>Orçamento - Neodent</t>
  </si>
  <si>
    <t>Orçamento - QOYA</t>
  </si>
  <si>
    <t>Orçamento - RAC</t>
  </si>
  <si>
    <t>Orçamento - SESI</t>
  </si>
  <si>
    <t>Orçamento - Shopping Bairro Alto</t>
  </si>
  <si>
    <t>Orçamento - Systhex</t>
  </si>
  <si>
    <t>Orçamento - Trelrium</t>
  </si>
  <si>
    <t>Orçamento - Vidraçaria Globo</t>
  </si>
  <si>
    <t>Orçamento - Volks</t>
  </si>
  <si>
    <t>OS #1336</t>
  </si>
  <si>
    <t>Atualizar - Hotel Confiance</t>
  </si>
  <si>
    <t>Atualizar - JRM</t>
  </si>
  <si>
    <t>Atualizar - Mueller</t>
  </si>
  <si>
    <t>Atualizar - Templates email</t>
  </si>
  <si>
    <t>NFS-e 60</t>
  </si>
  <si>
    <t>NF-e 5381</t>
  </si>
  <si>
    <t>Atualizar - OS #1120</t>
  </si>
  <si>
    <t>Atualizar - Vencimento Docs</t>
  </si>
  <si>
    <t xml:space="preserve">Orçamento - Rinaldi </t>
  </si>
  <si>
    <t>Orçamento - TetraPak</t>
  </si>
  <si>
    <t>Rinaldi</t>
  </si>
  <si>
    <t>OS #1433</t>
  </si>
  <si>
    <t>OS #1406</t>
  </si>
  <si>
    <t>Orçamento - Condor</t>
  </si>
  <si>
    <t>Separar - OS EPI</t>
  </si>
  <si>
    <t>Filial 51 - Condor</t>
  </si>
  <si>
    <t>OS #1434</t>
  </si>
  <si>
    <t>Trelrium</t>
  </si>
  <si>
    <t>Orçamento - Edimar</t>
  </si>
  <si>
    <t>Cancelada NFS-e</t>
  </si>
  <si>
    <t>OS #1346</t>
  </si>
  <si>
    <t>OS #343</t>
  </si>
  <si>
    <t>OS #1293</t>
  </si>
  <si>
    <t>OS #1193</t>
  </si>
  <si>
    <t>OS #1278</t>
  </si>
  <si>
    <t>OS #1340</t>
  </si>
  <si>
    <t>OS #1239</t>
  </si>
  <si>
    <t>OS #1223</t>
  </si>
  <si>
    <t>OS #1342</t>
  </si>
  <si>
    <t>OS #1234</t>
  </si>
  <si>
    <t>OS #1327</t>
  </si>
  <si>
    <t>OS #1343</t>
  </si>
  <si>
    <t>OS #1352</t>
  </si>
  <si>
    <t xml:space="preserve">Emitir Notas - JJGC </t>
  </si>
  <si>
    <t>Retenção ISS/INSS</t>
  </si>
  <si>
    <t>Retenção ISS</t>
  </si>
  <si>
    <t>Assinar - Contrato Clinimêrces</t>
  </si>
  <si>
    <t>Orçamento - Netcom</t>
  </si>
  <si>
    <t>Orçamento - Carrefour</t>
  </si>
  <si>
    <t>OS #1438</t>
  </si>
  <si>
    <t>OS #1439</t>
  </si>
  <si>
    <t>OS #1094</t>
  </si>
  <si>
    <t>Solicitar Frete Nice - Casa de Carne</t>
  </si>
  <si>
    <t>OS #1440</t>
  </si>
  <si>
    <t>OS #1442</t>
  </si>
  <si>
    <t>Emitir NFS-e</t>
  </si>
  <si>
    <t>VALOR SERVIÇO</t>
  </si>
  <si>
    <t>Orçamento - Joselito</t>
  </si>
  <si>
    <t>OS #1441</t>
  </si>
  <si>
    <t>Preencher - Draft Cattalini</t>
  </si>
  <si>
    <t>Finance Dash</t>
  </si>
  <si>
    <t>PENDING</t>
  </si>
  <si>
    <t>Queen Victoria</t>
  </si>
  <si>
    <t>Simples Remessa</t>
  </si>
  <si>
    <t>Atualizar - Oftalmologia</t>
  </si>
  <si>
    <t>Lançar Cartão</t>
  </si>
  <si>
    <t>Emitir - Multa</t>
  </si>
  <si>
    <t>Ecosport</t>
  </si>
  <si>
    <t>OS #1445</t>
  </si>
  <si>
    <t>OS #1446</t>
  </si>
  <si>
    <t>OS #1447</t>
  </si>
  <si>
    <t>Orçamento - Empreiteira Batista</t>
  </si>
  <si>
    <t>Orçamento - Hexion</t>
  </si>
  <si>
    <t>Orçamento - Diamond</t>
  </si>
  <si>
    <t>OS #1449</t>
  </si>
  <si>
    <t>OS #1450</t>
  </si>
  <si>
    <t>OS #1451</t>
  </si>
  <si>
    <t>OS #1437</t>
  </si>
  <si>
    <t>OS #1334</t>
  </si>
  <si>
    <t>Emitir Notas - Industrialização</t>
  </si>
  <si>
    <t>Mapa</t>
  </si>
  <si>
    <t>Orçamento - Alia Tecnologia</t>
  </si>
  <si>
    <t>OS #1453</t>
  </si>
  <si>
    <t>OS #1454</t>
  </si>
  <si>
    <t>OS #1455</t>
  </si>
  <si>
    <t>Retenção ISS/Substituida</t>
  </si>
  <si>
    <t>Emitir Notas - Devolução</t>
  </si>
  <si>
    <t>Devolução NF-e: 5401</t>
  </si>
  <si>
    <t>Devolução NF-e: 5400</t>
  </si>
  <si>
    <t>OS #1172</t>
  </si>
  <si>
    <t>Orçamento - Sodexo</t>
  </si>
  <si>
    <t>OS #1458</t>
  </si>
  <si>
    <t>Casa de Carnes</t>
  </si>
  <si>
    <t>Hexion</t>
  </si>
  <si>
    <t>OS #1411</t>
  </si>
  <si>
    <t>Orçamento - Licita Premier</t>
  </si>
  <si>
    <t>Substituida NFS-e</t>
  </si>
  <si>
    <t>Orçamento - Rissi</t>
  </si>
  <si>
    <t>OS #1462</t>
  </si>
  <si>
    <t>OS #1463</t>
  </si>
  <si>
    <t>Mega Orçamentos - SIG</t>
  </si>
  <si>
    <t>MetalFim</t>
  </si>
  <si>
    <t>Orçamento - JJGC</t>
  </si>
  <si>
    <t>OS #1265</t>
  </si>
  <si>
    <t>OS #1481</t>
  </si>
  <si>
    <t>OS #1482</t>
  </si>
  <si>
    <t>Orçamento - Porto Feliz</t>
  </si>
  <si>
    <t>Cancelada NFS-e: 77</t>
  </si>
  <si>
    <t>Cancelada NFS-e: 76</t>
  </si>
  <si>
    <t>OS #1479</t>
  </si>
  <si>
    <t>OS #641</t>
  </si>
  <si>
    <t>Retenção/ISS</t>
  </si>
  <si>
    <t>Frimesa</t>
  </si>
  <si>
    <t>Falta 02 Unidades</t>
  </si>
  <si>
    <t>Orçamento - Posto Performance</t>
  </si>
  <si>
    <t>Orçamento - Ariete</t>
  </si>
  <si>
    <t>OS #1097</t>
  </si>
  <si>
    <t>Prenova</t>
  </si>
  <si>
    <t>OS #1452</t>
  </si>
  <si>
    <t>Solicitar Frete - Frimesa</t>
  </si>
  <si>
    <t xml:space="preserve">Orçamento - Condor </t>
  </si>
  <si>
    <t>OS #1491</t>
  </si>
  <si>
    <t>Status S</t>
  </si>
  <si>
    <t>Status P</t>
  </si>
  <si>
    <t>Emitida</t>
  </si>
  <si>
    <t>Cancelada e reemitida na OS #1276</t>
  </si>
  <si>
    <t>NF-e PRODUTO</t>
  </si>
  <si>
    <t>NFS-e SERVIÇO</t>
  </si>
  <si>
    <t>Centro Civico Apart</t>
  </si>
  <si>
    <t>TOTAL OS</t>
  </si>
  <si>
    <t>VALOR NF-e</t>
  </si>
  <si>
    <t>Orçamento - Witmarsum</t>
  </si>
  <si>
    <t>Lanchonete Garcport</t>
  </si>
  <si>
    <t>DATA</t>
  </si>
  <si>
    <t>CHAVE</t>
  </si>
  <si>
    <t>EMISSÃO</t>
  </si>
  <si>
    <t>OS #1496</t>
  </si>
  <si>
    <t>CFOP</t>
  </si>
  <si>
    <t>NATUREZA</t>
  </si>
  <si>
    <t>41260213929397000142550010000054311352026022 </t>
  </si>
  <si>
    <t>41260213929397000142550010000054331322026029 </t>
  </si>
  <si>
    <t>41260213929397000142550010000054341322026026 </t>
  </si>
  <si>
    <t>41260213929397000142550010000054351322026023 </t>
  </si>
  <si>
    <t>41260213929397000142550010000054361332026023 </t>
  </si>
  <si>
    <t>41260213929397000142550010000054371332026020 </t>
  </si>
  <si>
    <t>41260213929397000142550010000054381342026020 </t>
  </si>
  <si>
    <t>41260113929397000142550010000054021132026010 </t>
  </si>
  <si>
    <t>41260113929397000142550010000054031132026017 </t>
  </si>
  <si>
    <t>41260113929397000142550010000054041142026017 </t>
  </si>
  <si>
    <t>41260113929397000142550010000054051292026010 </t>
  </si>
  <si>
    <t>41260113929397000142550010000054061292026017 </t>
  </si>
  <si>
    <t>41260113929397000142550010000054071152026011 </t>
  </si>
  <si>
    <t>41260113929397000142550010000054081182026017 </t>
  </si>
  <si>
    <t>41260113929397000142550010000054091182026014 </t>
  </si>
  <si>
    <t>41260113929397000142550010000054101182026015 </t>
  </si>
  <si>
    <t>41260113929397000142550010000054111192026015 </t>
  </si>
  <si>
    <t>41260113929397000142550010000054121192026012 </t>
  </si>
  <si>
    <t>41260113929397000142550010000054131212026010 </t>
  </si>
  <si>
    <t>41260113929397000142550010000054141212026017 </t>
  </si>
  <si>
    <t>41260113929397000142550010000054151222026017 </t>
  </si>
  <si>
    <t>41260113929397000142550010000054161252026012 </t>
  </si>
  <si>
    <t>41260113929397000142550010000054171252026010 </t>
  </si>
  <si>
    <t>41260113929397000142550010000054181252026017 </t>
  </si>
  <si>
    <t>41260113929397000142550010000054191262026017 </t>
  </si>
  <si>
    <t>41260113929397000142550010000054201262026018 </t>
  </si>
  <si>
    <t>41260113929397000142550010000054211262026015 </t>
  </si>
  <si>
    <t>41260113929397000142550010000054221272026015 </t>
  </si>
  <si>
    <t>41260113929397000142550010000054231272026012 </t>
  </si>
  <si>
    <t>41260113929397000142550010000054241282026012 </t>
  </si>
  <si>
    <t>41260113929397000142550010000054251282026010 </t>
  </si>
  <si>
    <t>41260113929397000142550010000054261282026017 </t>
  </si>
  <si>
    <t>41260113929397000142550010000054271282026014 </t>
  </si>
  <si>
    <t>41260113929397000142550010000054281282026011 </t>
  </si>
  <si>
    <t>41260113929397000142550010000054291282026019 </t>
  </si>
  <si>
    <t>41260113929397000142550010000054301292026012 </t>
  </si>
  <si>
    <t>Orçamento - WF Metalurgica</t>
  </si>
  <si>
    <t>Orçamento - Rissi Campo Grande</t>
  </si>
  <si>
    <t>OS #1500</t>
  </si>
  <si>
    <t>Orçamento - Rissi N° 20950</t>
  </si>
  <si>
    <t>OS #1501</t>
  </si>
  <si>
    <t>OS #1502</t>
  </si>
  <si>
    <t>OS #1270</t>
  </si>
  <si>
    <t>OS #1273</t>
  </si>
  <si>
    <t>Edifício Business Center</t>
  </si>
  <si>
    <t>41260213929397000142550010000054321392026020 </t>
  </si>
  <si>
    <t>41260213929397000142550010000054391392026021</t>
  </si>
  <si>
    <t>Condomínio Edifício Residence Batel</t>
  </si>
  <si>
    <t>41251013929397000142550010000053011287202517 </t>
  </si>
  <si>
    <t>Sindicato Dos Empregados Em Estabelecimentos Bancários</t>
  </si>
  <si>
    <t>41251013929397000142550010000053021287202514 </t>
  </si>
  <si>
    <t>MetalFim Tratamentos de Superficie Ltda</t>
  </si>
  <si>
    <t>41251013929397000142550010000053031287202511 </t>
  </si>
  <si>
    <t>41251013929397000142550010000053041287202519 </t>
  </si>
  <si>
    <t>Netcom Construtora Ltda</t>
  </si>
  <si>
    <t>41251013929397000142550010000053051295202511 </t>
  </si>
  <si>
    <t>Luciana B G Der Bedrossian</t>
  </si>
  <si>
    <t>41251013929397000142550010000053061287202513 </t>
  </si>
  <si>
    <t>Mondelez Brasil Ltda</t>
  </si>
  <si>
    <t>41251013929397000142550010000053071288202514 </t>
  </si>
  <si>
    <t>Madeshopping Investimentos e Participações Ltda</t>
  </si>
  <si>
    <t>41251013929397000142550010000053081288202511 </t>
  </si>
  <si>
    <t>União Champagnat de Educação</t>
  </si>
  <si>
    <t>41251013929397000142550010000053091289202512 </t>
  </si>
  <si>
    <t>Renault do Brasil Ltda</t>
  </si>
  <si>
    <t>41251013929397000142550010000053101294202518 </t>
  </si>
  <si>
    <t>41251013929397000142550010000053111292202518 </t>
  </si>
  <si>
    <t>Ouro Verde Participações S/A</t>
  </si>
  <si>
    <t>41251013929397000142550010000053121292202515 </t>
  </si>
  <si>
    <t>41251013929397000142550010000053131293202516 </t>
  </si>
  <si>
    <t>Jockey Plaza Shopping Center</t>
  </si>
  <si>
    <t>41251013929397000142550010000053141293202513 </t>
  </si>
  <si>
    <t>41251013929397000142550010000053151293202510 </t>
  </si>
  <si>
    <t>Parth Administração e Empreendimentos Ltda</t>
  </si>
  <si>
    <t>41251013929397000142550010000053161293202518 </t>
  </si>
  <si>
    <t>HCL Hotéis Ltda</t>
  </si>
  <si>
    <t>41251013929397000142550010000053171293202515 </t>
  </si>
  <si>
    <t>Condomínio do Edifício Philadelphia</t>
  </si>
  <si>
    <t>41251013929397000142550010000053181294202516 </t>
  </si>
  <si>
    <t>41251013929397000142550010000053191294202513 </t>
  </si>
  <si>
    <t>Madero Industria e Comércio S.A</t>
  </si>
  <si>
    <t>41251013929397000142550010000053201294202514 </t>
  </si>
  <si>
    <t>41251013929397000142550010000053211295202515 </t>
  </si>
  <si>
    <t>41251013929397000142550010000053221295202512 </t>
  </si>
  <si>
    <t>41251013929397000142550010000053231295202510 </t>
  </si>
  <si>
    <t>Fast Pintura a Pó Ltda</t>
  </si>
  <si>
    <t>41251013929397000142550010000053241295202517 </t>
  </si>
  <si>
    <t>41251013929397000142550010000053251296202518 </t>
  </si>
  <si>
    <t>41251013929397000142550010000053261296202515 </t>
  </si>
  <si>
    <t>Sindicato Dos Empregados Em Estabelecimentos</t>
  </si>
  <si>
    <t>41251013929397000142550010000053271300202518 </t>
  </si>
  <si>
    <t>Volkswagen do Brasil Industria de Veiculos Automotores Ltda</t>
  </si>
  <si>
    <t>41251013929397000142550010000053281302202512 </t>
  </si>
  <si>
    <t>Sig Combibloc do Brasil Ltda</t>
  </si>
  <si>
    <t>41251013929397000142550010000053291302202510 </t>
  </si>
  <si>
    <t>41251013929397000142550010000053301302202510 </t>
  </si>
  <si>
    <t>Memphis Engenharia e Serviços Ltda</t>
  </si>
  <si>
    <t>41251013929397000142550010000053311302202518 </t>
  </si>
  <si>
    <t>41251013929397000142550010000053321303202519 </t>
  </si>
  <si>
    <t>Gusto &amp; Henri Supermercados Ltda</t>
  </si>
  <si>
    <t>41251013929397000142550010000053331303202516 </t>
  </si>
  <si>
    <t>Hergen S/A Maquinas e Equipamentos</t>
  </si>
  <si>
    <t>41251113929397000142550010000053341306202518 </t>
  </si>
  <si>
    <t>Filial 17 - Condor Super Center Ltda</t>
  </si>
  <si>
    <t>41251113929397000142550010000053351307202519 </t>
  </si>
  <si>
    <t>41251113929397000142550010000053361307202516 </t>
  </si>
  <si>
    <t>41251113929397000142550010000053371307202513 </t>
  </si>
  <si>
    <t>41251113929397000142550010000053381307202510 </t>
  </si>
  <si>
    <t>Anosul Anodizadora de Alumínio Ltda</t>
  </si>
  <si>
    <t>41251113929397000142550010000053391307202518 </t>
  </si>
  <si>
    <t>41251113929397000142550010000053401307202519 </t>
  </si>
  <si>
    <t>41251113929397000142550010000053411307202516 </t>
  </si>
  <si>
    <t>41251213929397000142550010000053421335202518 </t>
  </si>
  <si>
    <t>41251113929397000142550010000053431308202514 </t>
  </si>
  <si>
    <t>41251113929397000142550010000053441309202515 </t>
  </si>
  <si>
    <t>Robert Bosch Limitada</t>
  </si>
  <si>
    <t>41251113929397000142550010000053451310202512 </t>
  </si>
  <si>
    <t>41251113929397000142550010000053461313202510 </t>
  </si>
  <si>
    <t>41251113929397000142550010000053471313202518 </t>
  </si>
  <si>
    <t>41251113929397000142550010000053481313202515 </t>
  </si>
  <si>
    <t>Triermach Comercio e Servicos Ltda</t>
  </si>
  <si>
    <t>41251113929397000142550010000053491313202512 </t>
  </si>
  <si>
    <t>Slaviero Empreendimentos Hoteleiros Ltda</t>
  </si>
  <si>
    <t>41251113929397000142550010000053501316202514 </t>
  </si>
  <si>
    <t>41251113929397000142550010000053511320202512 </t>
  </si>
  <si>
    <t>Edimar Sobolevski</t>
  </si>
  <si>
    <t>41251113929397000142550010000053521320202510 </t>
  </si>
  <si>
    <t>In Haus Industrial e Serviços de Logistica S/A</t>
  </si>
  <si>
    <t>41251113929397000142550010000053531320202517 </t>
  </si>
  <si>
    <t>API SPE 46 - Planejamento E Desenvolvimento De Empr. Imob.</t>
  </si>
  <si>
    <t>41251113929397000142550010000053541321202518 </t>
  </si>
  <si>
    <t>Gold Indústria e Comércio Ltda</t>
  </si>
  <si>
    <t>41251113929397000142550010000053551322202519 </t>
  </si>
  <si>
    <t>Climasul Ar Condicionado Ltda</t>
  </si>
  <si>
    <t>41251113929397000142550010000053561322202516 </t>
  </si>
  <si>
    <t>41251113929397000142550010000053571328202515 </t>
  </si>
  <si>
    <t>DVS Comércio de Veículos Ltda</t>
  </si>
  <si>
    <t>41251113929397000142550010000053581327202519 </t>
  </si>
  <si>
    <t>Ebanx Ltda</t>
  </si>
  <si>
    <t>41251113929397000142550010000053591327202516 </t>
  </si>
  <si>
    <t>Callfarma Comércio de Medicamentos Ltda</t>
  </si>
  <si>
    <t>41251113929397000142550010000053601327202517 </t>
  </si>
  <si>
    <t>41251113929397000142550010000053611328202518 </t>
  </si>
  <si>
    <t>41251113929397000142550010000053621328202515 </t>
  </si>
  <si>
    <t>41251113929397000142550010000053631328202512 </t>
  </si>
  <si>
    <t>Tecnodock Comércio Industria Importação e Exportação Ltda</t>
  </si>
  <si>
    <t>41251113929397000142550010000053641329202513 </t>
  </si>
  <si>
    <t>Liga das Senhoras Católicas de Curitiba</t>
  </si>
  <si>
    <t>41251113929397000142550010000053651330202510 </t>
  </si>
  <si>
    <t>41251113929397000142550010000053661330202518 </t>
  </si>
  <si>
    <t>Frimesa Cooperativa Central</t>
  </si>
  <si>
    <t>41251113929397000142550010000053671330202515 </t>
  </si>
  <si>
    <t>JJGC Industria e Comercio de Materiais Dentários S.A</t>
  </si>
  <si>
    <t>41251113929397000142550010000053681331202516 </t>
  </si>
  <si>
    <t>JJGC Industria e Comercio de Materiais Dentarios S.A</t>
  </si>
  <si>
    <t>41251113929397000142550010000053691331202513 </t>
  </si>
  <si>
    <t>41251113929397000142550010000053701331202514 </t>
  </si>
  <si>
    <t>41251113929397000142550010000053711331202511 </t>
  </si>
  <si>
    <t>41251213929397000142550010000053721334202513 </t>
  </si>
  <si>
    <t>Filial 28 - Condor Super Center Ltda</t>
  </si>
  <si>
    <t>41251213929397000142550010000053731334202510 </t>
  </si>
  <si>
    <t>Filial 01 - Condor Super Center Ltda</t>
  </si>
  <si>
    <t>41251213929397000142550010000053741334202518 </t>
  </si>
  <si>
    <t>41251213929397000142550010000053751336202512 </t>
  </si>
  <si>
    <t>L&amp;F Vidros Ltda</t>
  </si>
  <si>
    <t>41251213929397000142550010000053761336202510 </t>
  </si>
  <si>
    <t>41251213929397000142550010000053771336202517 </t>
  </si>
  <si>
    <t>41251213929397000142550010000053781337202518 </t>
  </si>
  <si>
    <t>41251213929397000142550010000053791337202515 </t>
  </si>
  <si>
    <t>Rissi Fachadas e Esquadrias Ltda</t>
  </si>
  <si>
    <t>41251213929397000142550010000053801341202517 </t>
  </si>
  <si>
    <t>41251213929397000142550010000053811341202514 </t>
  </si>
  <si>
    <t>41251213929397000142550010000053821341202511 </t>
  </si>
  <si>
    <t>NB Engenharia Comercio e Construcoes Ltda</t>
  </si>
  <si>
    <t>41251213929397000142550010000053831342202512 </t>
  </si>
  <si>
    <t>4L Serviços e Manutenções Ltda</t>
  </si>
  <si>
    <t>41251213929397000142550010000053841343202513 </t>
  </si>
  <si>
    <t>41251213929397000142550010000053851343202510 </t>
  </si>
  <si>
    <t>41251213929397000142550010000053861343202518 </t>
  </si>
  <si>
    <t>41251213929397000142550010000053871343202515 </t>
  </si>
  <si>
    <t>M . A. Rodrigues Goulart - Vidraçaria</t>
  </si>
  <si>
    <t>41251213929397000142550010000053881344202516 </t>
  </si>
  <si>
    <t>M . A. Rodrigues Goulart - Vidracaria</t>
  </si>
  <si>
    <t>41251213929397000142550010000053891344202513 </t>
  </si>
  <si>
    <t>Design Ferragens Ltda</t>
  </si>
  <si>
    <t>41251213929397000142550010000053901345202518 </t>
  </si>
  <si>
    <t>Sumitomo Rubber do Brasil Ltda</t>
  </si>
  <si>
    <t>41251213929397000142550010000053911345202515 </t>
  </si>
  <si>
    <t>Farmácia Irmãos Pavesi Ltda</t>
  </si>
  <si>
    <t>41251213929397000142550010000053921349202517 </t>
  </si>
  <si>
    <t>41251213929397000142550010000053931350202514 </t>
  </si>
  <si>
    <t>41251213929397000142550010000053941350202511 </t>
  </si>
  <si>
    <t>41251213929397000142550010000053951350202519 </t>
  </si>
  <si>
    <t>41251213929397000142550010000053961351202510 </t>
  </si>
  <si>
    <t>Hdez Empreendimentos Ltda</t>
  </si>
  <si>
    <t>41251213929397000142550010000053971351202517 </t>
  </si>
  <si>
    <t>41251213929397000142550010000053981351202514 </t>
  </si>
  <si>
    <t>41251213929397000142550010000053991351202511 </t>
  </si>
  <si>
    <t>Cia Beal de Alimentos</t>
  </si>
  <si>
    <t>41251213929397000142550010000054001352202518 </t>
  </si>
  <si>
    <t>Associação Franciscana de Ensino Senhor Bom Jesus</t>
  </si>
  <si>
    <t>41251213929397000142550010000054011352202515 </t>
  </si>
  <si>
    <t>Calpie Pinturas Industriais Ltda</t>
  </si>
  <si>
    <t>Filial 51 - Condor Super Center Ltda</t>
  </si>
  <si>
    <t>Orçamento - Votorantim</t>
  </si>
  <si>
    <t>OS #1506</t>
  </si>
  <si>
    <t>41260213929397000142550010000054401392026022</t>
  </si>
  <si>
    <t>Neoortho Produtos Ortopédicos S.A</t>
  </si>
  <si>
    <t>41260213929397000142550010000054411402026027</t>
  </si>
  <si>
    <t>VALOR NFS-e</t>
  </si>
  <si>
    <t>41069022213929397000142000000000009726024240921811</t>
  </si>
  <si>
    <t>Fundo Especial da Procuradoria Geral do Estado do Paraná - FEPGE/PR</t>
  </si>
  <si>
    <t>41069022213929397000142000000000006626010277231531</t>
  </si>
  <si>
    <t>Alumisistem Esquadrias de Alumínio Ltda</t>
  </si>
  <si>
    <t>41069022213929397000142000000000006726016472660317</t>
  </si>
  <si>
    <t>Lightera Latam S.A</t>
  </si>
  <si>
    <t>41069022213929397000142000000000006826017818967298</t>
  </si>
  <si>
    <t>Onet Engenharia e Manutenção Ltda</t>
  </si>
  <si>
    <t>41069022213929397000142000000000006926015692252080</t>
  </si>
  <si>
    <t>41069022213929397000142000000000007026019996850370</t>
  </si>
  <si>
    <t>ISS</t>
  </si>
  <si>
    <t>INSS</t>
  </si>
  <si>
    <t>VALOR LIQUIDO</t>
  </si>
  <si>
    <t>Casc Administradora de Shopping Centers S.A.</t>
  </si>
  <si>
    <t>41069022213929397000142000000000007126011807985840</t>
  </si>
  <si>
    <t>41069022213929397000142000000000007226017361065979</t>
  </si>
  <si>
    <t>41069022213929397000142000000000007326010820268382</t>
  </si>
  <si>
    <t>Hotel Curitiba Capital S/A</t>
  </si>
  <si>
    <t>41069022213929397000142000000000007426019670696691</t>
  </si>
  <si>
    <t>41069022213929397000142000000000007526019317457252</t>
  </si>
  <si>
    <t>NB Engenharia Comércio e Construções Ltda</t>
  </si>
  <si>
    <t>41069022213929397000142000000000007626014465230186</t>
  </si>
  <si>
    <t>41069022213929397000142000000000007726011969211770</t>
  </si>
  <si>
    <t>Manusa do Brasil Comércio de Portas Automáticas Ltda</t>
  </si>
  <si>
    <t>41069022213929397000142000000000007826013944670649</t>
  </si>
  <si>
    <t>Quick Burger Alimentos Ltda</t>
  </si>
  <si>
    <t>41069022213929397000142000000000007926010516422263</t>
  </si>
  <si>
    <t>Edifício Centro Empresarial Glaser</t>
  </si>
  <si>
    <t>41069022213929397000142000000000008026012201971232</t>
  </si>
  <si>
    <t>Rinaldi Engenharia Civil Ltda</t>
  </si>
  <si>
    <t>41069022213929397000142000000000008126010387076570</t>
  </si>
  <si>
    <t>41069022213929397000142000000000008226015228992445</t>
  </si>
  <si>
    <t>Desconto R$ 60,42</t>
  </si>
  <si>
    <t>41069022213929397000142000000000008326019665415328</t>
  </si>
  <si>
    <t>Trelrium Comércio de Combustíveis e Conveniência Ltda</t>
  </si>
  <si>
    <t>41069022213929397000142000000000008426010007549928</t>
  </si>
  <si>
    <t>41069022213929397000142000000000008526014468721511</t>
  </si>
  <si>
    <t>41069022213929397000142000000000008626016428623985</t>
  </si>
  <si>
    <t>Mapa Comércio e Serviços em Portas Automáticas ltda</t>
  </si>
  <si>
    <t>41069022213929397000142000000000008726015121715779</t>
  </si>
  <si>
    <t>Retenção ISS/Desconto</t>
  </si>
  <si>
    <t>Hexion Química do Brasil Ltda</t>
  </si>
  <si>
    <t>41069022213929397000142000000000008826010174438900</t>
  </si>
  <si>
    <t>41069022213929397000142000000000008926010737971238</t>
  </si>
  <si>
    <t>41069022213929397000142000000000009026013124288899</t>
  </si>
  <si>
    <t>41069022213929397000142000000000009126026731053032</t>
  </si>
  <si>
    <t>41069022213929397000142000000000009226022033686901</t>
  </si>
  <si>
    <t>41069022213929397000142000000000009326021158183609</t>
  </si>
  <si>
    <t>41069022213929397000142000000000009426028280627231</t>
  </si>
  <si>
    <t>41069022213929397000142000000000009526020737961238</t>
  </si>
  <si>
    <t>Centro Civico Apart Hotel Ltda</t>
  </si>
  <si>
    <t>Lanchonete Garcport Ltda</t>
  </si>
  <si>
    <t>41069022213929397000142000000000009626028250080924</t>
  </si>
  <si>
    <t>NÃO</t>
  </si>
  <si>
    <t>SIM</t>
  </si>
  <si>
    <t>Araúz &amp; Advogados Associados</t>
  </si>
  <si>
    <t>41069022213929397000142000000000000125117375775122</t>
  </si>
  <si>
    <t>Condominio Palladium Shopping Center Curitiba</t>
  </si>
  <si>
    <t>41069022213929397000142000000000000225118251173793</t>
  </si>
  <si>
    <t>41069022213929397000142000000000000325110788795272</t>
  </si>
  <si>
    <t>41069022213929397000142000000000000425111637155713</t>
  </si>
  <si>
    <t>41069022213929397000142000000000000525118270293201</t>
  </si>
  <si>
    <t>41069022213929397000142000000000000625111428150643</t>
  </si>
  <si>
    <t>41069022213929397000142000000000000725115942115278</t>
  </si>
  <si>
    <t>41069022213929397000142000000000000825110283723868</t>
  </si>
  <si>
    <t>Triermach Comércio e Serviços Ltda</t>
  </si>
  <si>
    <t>41069022213929397000142000000000000925113078331188</t>
  </si>
  <si>
    <t>41069022213929397000142000000000001025116941085540</t>
  </si>
  <si>
    <t>41069022213929397000142000000000001125117443559895</t>
  </si>
  <si>
    <t>41069022213929397000142000000000001225117010358200</t>
  </si>
  <si>
    <t>41069022213929397000142000000000001325115679178519</t>
  </si>
  <si>
    <t>41069022213929397000142000000000001425116388855460</t>
  </si>
  <si>
    <t>41069022213929397000142000000000001525117354140338</t>
  </si>
  <si>
    <t>41069022213929397000142000000000001625112163985832</t>
  </si>
  <si>
    <t>41069022213929397000142000000000001725116555057780</t>
  </si>
  <si>
    <t>41069022213929397000142000000000001825110120303986</t>
  </si>
  <si>
    <t>41069022213929397000142000000000001925119621385958</t>
  </si>
  <si>
    <t>API SPE 46 - Planejamento e Desenvolvimento de Empr. Imob.</t>
  </si>
  <si>
    <t>41069022213929397000142000000000002025118467741801</t>
  </si>
  <si>
    <t>41069022213929397000142000000000002125114966579148</t>
  </si>
  <si>
    <t>41069022213929397000142000000000002225115510460816</t>
  </si>
  <si>
    <t>41069022213929397000142000000000002325110338369340</t>
  </si>
  <si>
    <t>41069022213929397000142000000000002425110336852862</t>
  </si>
  <si>
    <t>41069022213929397000142000000000002525112114328296</t>
  </si>
  <si>
    <t>41069022213929397000142000000000002625115450137440</t>
  </si>
  <si>
    <t>Hospital Santa Cruz S/A</t>
  </si>
  <si>
    <t>41069022213929397000142000000000002725117541231112</t>
  </si>
  <si>
    <t>41069022213929397000142000000000002825110054633963</t>
  </si>
  <si>
    <t>41069022213929397000142000000000002925111848198190</t>
  </si>
  <si>
    <t>41069022213929397000142000000000003025110762653699</t>
  </si>
  <si>
    <t>41069022213929397000142000000000003125110071474581</t>
  </si>
  <si>
    <t>Hospital Union Ltda</t>
  </si>
  <si>
    <t>41069022213929397000142000000000003225114199438898</t>
  </si>
  <si>
    <t>41069022213929397000142000000000003325119683748322</t>
  </si>
  <si>
    <t>41069022213929397000142000000000003425115012338300</t>
  </si>
  <si>
    <t>Reemitida na OS #1276</t>
  </si>
  <si>
    <t>41069022213929397000142000000000003525111147913761</t>
  </si>
  <si>
    <t>41069022213929397000142000000000003625127767825850</t>
  </si>
  <si>
    <t>41069022213929397000142000000000003725121359743937</t>
  </si>
  <si>
    <t>41069022213929397000142000000000003825129068150343</t>
  </si>
  <si>
    <t>41069022213929397000142000000000003925126737071427</t>
  </si>
  <si>
    <t>41069022213929397000142000000000004025121938531033</t>
  </si>
  <si>
    <t>41069022213929397000142000000000004125120629247298</t>
  </si>
  <si>
    <t>41069022213929397000142000000000004225129169219498</t>
  </si>
  <si>
    <t>41069022213929397000142000000000004325120505189242</t>
  </si>
  <si>
    <t>41069022213929397000142000000000004425122554185875</t>
  </si>
  <si>
    <t>41069022213929397000142000000000004525127366785458</t>
  </si>
  <si>
    <t>41069022213929397000142000000000004625123779657605</t>
  </si>
  <si>
    <t>41069022213929397000142000000000004725128256018270</t>
  </si>
  <si>
    <t>41069022213929397000142000000000004825120177152559</t>
  </si>
  <si>
    <t>41069022213929397000142000000000004925129989167841</t>
  </si>
  <si>
    <t>41069022213929397000142000000000005025125428494794</t>
  </si>
  <si>
    <t>41069022213929397000142000000000005125120256888750</t>
  </si>
  <si>
    <t>41069022213929397000142000000000005225124463168996</t>
  </si>
  <si>
    <t>41069022213929397000142000000000005325120177357422</t>
  </si>
  <si>
    <t>41069022213929397000142000000000005425120017129492</t>
  </si>
  <si>
    <t>M.A. Rodrigues Goulart - Vidraçaria</t>
  </si>
  <si>
    <t>41069022213929397000142000000000005525129314576768</t>
  </si>
  <si>
    <t>41069022213929397000142000000000005625127567135732</t>
  </si>
  <si>
    <t>41069022213929397000142000000000005725120551396368</t>
  </si>
  <si>
    <t>41069022213929397000142000000000005825122167541675</t>
  </si>
  <si>
    <t>41069022213929397000142000000000005925128350456684</t>
  </si>
  <si>
    <t>41069022213929397000142000000000006025128192258070</t>
  </si>
  <si>
    <t>41069022213929397000142000000000006125127618118826</t>
  </si>
  <si>
    <t>41069022213929397000142000000000006225129691892412</t>
  </si>
  <si>
    <t>41069022213929397000142000000000006325120522417342</t>
  </si>
  <si>
    <t>41069022213929397000142000000000006425128149677401</t>
  </si>
  <si>
    <t>41069022213929397000142000000000006525127614096253</t>
  </si>
  <si>
    <t>Construtora Baggio Silveira Ltda</t>
  </si>
  <si>
    <t>Centro Cívico Apart Hotel Ltda</t>
  </si>
  <si>
    <t>Condomínio do Edifício Curitiba Business Center</t>
  </si>
  <si>
    <t>Condomínio Palladium Shopping Center Curitiba</t>
  </si>
  <si>
    <t>Pátio Batel Shopping Ltda</t>
  </si>
  <si>
    <t>Prenova Acessos e Acabamentos Arquitetônicos Ltda</t>
  </si>
  <si>
    <t>Edifício Queen Victoria</t>
  </si>
  <si>
    <t>41250813929397000142550010000052001928889133</t>
  </si>
  <si>
    <t>41250313929397000142550010000050111000865610</t>
  </si>
  <si>
    <t>Graham Packaging do Brasil Indústria e Comércio Ltda</t>
  </si>
  <si>
    <t>41250913929397000142550010000052481805589643</t>
  </si>
  <si>
    <t>41250913929397000142550010000052571482726007</t>
  </si>
  <si>
    <t>41251013929397000142550010000052921412199589</t>
  </si>
  <si>
    <t>Contas a Pagar</t>
  </si>
  <si>
    <t>Cooperativa de Crédito, Poupança e Investimento Integração</t>
  </si>
  <si>
    <t>41260213929397000142550010000054421412026027</t>
  </si>
  <si>
    <t>41069022213929397000142000000000009826026384814540</t>
  </si>
  <si>
    <t>41251002797390000106550010000010901293202511 </t>
  </si>
  <si>
    <t>41251002797390000106550010000010911293202519 </t>
  </si>
  <si>
    <t>41251002797390000106550010000010921293202516 </t>
  </si>
  <si>
    <t>41251002797390000106550010000010931293202513 </t>
  </si>
  <si>
    <t>41251102797390000106550010000010941307202516 </t>
  </si>
  <si>
    <t>41251102797390000106550010000010951310202510 </t>
  </si>
  <si>
    <t>41251102797390000106550010000010961310202518 </t>
  </si>
  <si>
    <t>41251102797390000106550010000010971322202515 </t>
  </si>
  <si>
    <t>41251102797390000106550010000010981328202514 </t>
  </si>
  <si>
    <t>41251202797390000106550010000010991337202514 </t>
  </si>
  <si>
    <t>41251202797390000106550010000011001342202511 </t>
  </si>
  <si>
    <t>41251202797390000106550010000011011348202510 </t>
  </si>
  <si>
    <t>41260102797390000106550010000011021282026011 </t>
  </si>
  <si>
    <t>Industria de Produtos Suínos Casa Velha Ltda</t>
  </si>
  <si>
    <t>Seara Alimentos Ltda</t>
  </si>
  <si>
    <t>Ledur e Ledur Comercio de Alimentos Ltda</t>
  </si>
  <si>
    <t>Coopavel Cooperativa Agroindustrial</t>
  </si>
  <si>
    <t>Duotec Engenharia Ltda</t>
  </si>
  <si>
    <t>Graffo Paranaense de Embalagens Ltda</t>
  </si>
  <si>
    <t>Doacir F Rodrigues da Silva &amp; Cia Ltda</t>
  </si>
  <si>
    <t>Casa de Carne da Gente Ltda</t>
  </si>
  <si>
    <t>41069022202797390000106000000000000125125288126319</t>
  </si>
  <si>
    <t>41069022202797390000106000000000000225128353964296</t>
  </si>
  <si>
    <t>Doacir F Rodrigues da Silva Cia Ltda</t>
  </si>
  <si>
    <t>Orçamento - Sicredi Araucária</t>
  </si>
  <si>
    <t>Cancelar Notas - Neoortho</t>
  </si>
  <si>
    <t>Emitir Notas - Neoortho</t>
  </si>
  <si>
    <t>41260213929397000142550010000054431412026024</t>
  </si>
  <si>
    <t>41069022213929397000142000000000009926029122495373</t>
  </si>
  <si>
    <t>OS #1101 - NICE</t>
  </si>
  <si>
    <t>Filial 49 - Condor Super Center Ltda</t>
  </si>
  <si>
    <t>41260202797390000106550010000011031412026025</t>
  </si>
  <si>
    <t>41069022202797390000106000000000000326020647349057</t>
  </si>
  <si>
    <t>Retenção INSS</t>
  </si>
  <si>
    <t>Carta Correção NF-e 5442</t>
  </si>
  <si>
    <t>OS #1254</t>
  </si>
  <si>
    <t>OS #1498</t>
  </si>
  <si>
    <t>Pies &amp; Meotti Restaurante Ltda</t>
  </si>
  <si>
    <t>41069022213929397000142000000000010026025649898283</t>
  </si>
  <si>
    <t>RETER INSS</t>
  </si>
  <si>
    <t>RETER ISS</t>
  </si>
  <si>
    <t>Orçamento - Prenova</t>
  </si>
  <si>
    <t>OS #1517</t>
  </si>
  <si>
    <t>41260213929397000142550010000054441422026024</t>
  </si>
  <si>
    <t>Orçamento - Renault</t>
  </si>
  <si>
    <t>OS #1524</t>
  </si>
  <si>
    <t>OS #1513</t>
  </si>
  <si>
    <t>41260213929397000142550010000054451422026021</t>
  </si>
  <si>
    <t>Pies &amp; Meotti</t>
  </si>
  <si>
    <t>41260213929397000142550010000054461432026021</t>
  </si>
  <si>
    <t>OS #1526</t>
  </si>
  <si>
    <t>OS #1528</t>
  </si>
  <si>
    <t>OS #1529</t>
  </si>
  <si>
    <t>Remessa Industrialização</t>
  </si>
  <si>
    <t>Orçamento - Bassano di Grappo</t>
  </si>
  <si>
    <t>OS #1103 Nice</t>
  </si>
  <si>
    <t>41260213929397000142550010000054471432026029</t>
  </si>
  <si>
    <t>41260213929397000142550010000054481482026020</t>
  </si>
  <si>
    <t>41069022213929397000142000000000010126027222833523</t>
  </si>
  <si>
    <t>PDF &amp; XML</t>
  </si>
  <si>
    <t>OS #1493</t>
  </si>
  <si>
    <t>OS #1179</t>
  </si>
  <si>
    <t>Orçamento - Condor Filial 11</t>
  </si>
  <si>
    <t>Orçamento - Condor Filial 25</t>
  </si>
  <si>
    <t>Aprovação - Votorantim</t>
  </si>
  <si>
    <t>OS #1536</t>
  </si>
  <si>
    <t>OS #1480</t>
  </si>
  <si>
    <t>OS #1537</t>
  </si>
  <si>
    <t>Orçamento - Frimesa</t>
  </si>
  <si>
    <t>OS #1540</t>
  </si>
  <si>
    <t>Aprovação - Costantini</t>
  </si>
  <si>
    <t>OS #1533</t>
  </si>
  <si>
    <t>OS #1534</t>
  </si>
  <si>
    <t>OS #1535</t>
  </si>
  <si>
    <t>OS #1539</t>
  </si>
  <si>
    <t>41260213929397000142550010000054501492026020</t>
  </si>
  <si>
    <t>41260213929397000142550010000054511492026028</t>
  </si>
  <si>
    <t>Filial 11 - Condor Super Center Ltda</t>
  </si>
  <si>
    <t>41260213929397000142550010000054491492026020</t>
  </si>
  <si>
    <t>Truth Finance On Demand Ltda</t>
  </si>
  <si>
    <t>Filial 24 - Condor Super Center Ltda</t>
  </si>
  <si>
    <t>41069022213929397000142000000000010426020847663359</t>
  </si>
  <si>
    <t>41069022213929397000142000000000010326026949157121</t>
  </si>
  <si>
    <t>41069022213929397000142000000000010226024208018973</t>
  </si>
  <si>
    <t>41260213929397000142550010000054521492026025</t>
  </si>
  <si>
    <t>Lançar Contas - Nice</t>
  </si>
  <si>
    <t>41069022213929397000142000000000010526028248535549</t>
  </si>
  <si>
    <t>OS #1543</t>
  </si>
  <si>
    <t>Orçamento - HOPR</t>
  </si>
  <si>
    <t>OS #1544</t>
  </si>
  <si>
    <t>Orçamento - GR</t>
  </si>
  <si>
    <t>OS #1545</t>
  </si>
  <si>
    <t>Orçamento - DJG</t>
  </si>
  <si>
    <t>Orçamento - Gedanski</t>
  </si>
  <si>
    <t>OS #1209</t>
  </si>
  <si>
    <t>Atualizar - Tetrapak</t>
  </si>
  <si>
    <t>OS #1547</t>
  </si>
  <si>
    <t>OS #1548</t>
  </si>
  <si>
    <t>Metalfim</t>
  </si>
  <si>
    <t>OS #1549</t>
  </si>
  <si>
    <t>Atualizar - Lu cardoso</t>
  </si>
  <si>
    <t>OS #5249</t>
  </si>
  <si>
    <t>41260213929397000142550010000054541502026027</t>
  </si>
  <si>
    <t>41260213929397000142550010000054551502026024</t>
  </si>
  <si>
    <t>41069022213929397000142000000000010626025022841214</t>
  </si>
  <si>
    <t>41260213929397000142550010000054561502026021</t>
  </si>
  <si>
    <t>Orçamento - Eazytech</t>
  </si>
  <si>
    <t>OS #1551</t>
  </si>
  <si>
    <t>41260213929397000142550010000054571502026029</t>
  </si>
  <si>
    <t>41260213929397000142550010000054531502026020</t>
  </si>
  <si>
    <t xml:space="preserve">Solicitar Coleta - Frimesa </t>
  </si>
  <si>
    <t>Orçamento - Gustavo Odonto</t>
  </si>
  <si>
    <t>OS #1554</t>
  </si>
  <si>
    <t>Orçamento - Baston</t>
  </si>
  <si>
    <t>Recusada</t>
  </si>
  <si>
    <t>OS #1555</t>
  </si>
  <si>
    <t>Nota Cancelada - Filial 11</t>
  </si>
  <si>
    <t>NF-e: 5449</t>
  </si>
  <si>
    <t>Cadastrar - Jatoba</t>
  </si>
  <si>
    <t>OS #1104</t>
  </si>
  <si>
    <t>Orçamento Nice - CrossFilter</t>
  </si>
  <si>
    <t>Orçamento - Geffer</t>
  </si>
  <si>
    <t>OS #1557</t>
  </si>
  <si>
    <t>OS #1559</t>
  </si>
  <si>
    <t>41260213929397000142550010000054581532026024</t>
  </si>
  <si>
    <t>Expresso São Miguel</t>
  </si>
  <si>
    <t>5453; 5457</t>
  </si>
  <si>
    <t>Email - Netcom</t>
  </si>
  <si>
    <t>OS #1351</t>
  </si>
  <si>
    <t>OS #1495</t>
  </si>
  <si>
    <t>OS # 637</t>
  </si>
  <si>
    <t>Orçamento - JCR</t>
  </si>
  <si>
    <t>Nova Ordem Produção</t>
  </si>
  <si>
    <t>PROJECT</t>
  </si>
  <si>
    <t>Orçamento - Ana Karenina</t>
  </si>
  <si>
    <t>Unificar Tabelas Excel</t>
  </si>
  <si>
    <t>OS #1565</t>
  </si>
  <si>
    <t>Orçamento - Condor Mercês</t>
  </si>
  <si>
    <t>OS #1566</t>
  </si>
  <si>
    <t>OS #1567</t>
  </si>
  <si>
    <t>OS #1568</t>
  </si>
  <si>
    <t>DESCRIÇÃO</t>
  </si>
  <si>
    <t>Fora do Estado</t>
  </si>
  <si>
    <t>41260213929397000142550010000054591542026024</t>
  </si>
  <si>
    <t>41260213929397000142550010000054601542026025</t>
  </si>
  <si>
    <t>OS #1569</t>
  </si>
  <si>
    <t>OS #1570</t>
  </si>
  <si>
    <t>OS #1571</t>
  </si>
  <si>
    <t>OS #1572</t>
  </si>
  <si>
    <t>OS #1573</t>
  </si>
  <si>
    <t>Orçamento - 4L Serviços</t>
  </si>
  <si>
    <t>41069022213929397000142000000000010726025233680010</t>
  </si>
  <si>
    <t>Carta Correção NFS-e 5460</t>
  </si>
  <si>
    <t>OS #637</t>
  </si>
  <si>
    <t>Orçamento - Hospital Olhos</t>
  </si>
  <si>
    <t>Orçamento - Truth Finance</t>
  </si>
  <si>
    <t>OS #1575</t>
  </si>
  <si>
    <t>OS #1576</t>
  </si>
  <si>
    <t>OS #1578</t>
  </si>
  <si>
    <t>OS #1579</t>
  </si>
  <si>
    <t>OS #1580</t>
  </si>
  <si>
    <t>Orçamento - Neuro Inc</t>
  </si>
  <si>
    <t>Orçamento - DER/PR</t>
  </si>
  <si>
    <t>OS #1581</t>
  </si>
  <si>
    <t>Orçamento - Nomaa</t>
  </si>
  <si>
    <t>Orçamento - Volkswagen</t>
  </si>
  <si>
    <t>41260213929397000142550010000054611552026025</t>
  </si>
  <si>
    <t>41260213929397000142550010000054621552026022</t>
  </si>
  <si>
    <t>41260213929397000142550010000054631552026020</t>
  </si>
  <si>
    <t>41069022213929397000142000000000010826025157939430</t>
  </si>
  <si>
    <t>Hospital dos Olhos do Paraná Ltda</t>
  </si>
  <si>
    <t>Gedanski Instalação e Manutenção Elétrica Ltda</t>
  </si>
  <si>
    <t>41260213929397000142550010000054641552026027</t>
  </si>
  <si>
    <t>41069022213929397000142000000000010926020728790541</t>
  </si>
  <si>
    <t>Orçamento - Grandfood</t>
  </si>
  <si>
    <t>Associação Hospital Cardiológico Costantini</t>
  </si>
  <si>
    <t>41260213929397000142550010000054651552026024</t>
  </si>
  <si>
    <t>41069022213929397000142000000000011026029608372606</t>
  </si>
  <si>
    <t>OS #1587</t>
  </si>
  <si>
    <t>OS #1588</t>
  </si>
  <si>
    <t>OS #1589</t>
  </si>
  <si>
    <t>Relatório Notas - Escrita Fina</t>
  </si>
  <si>
    <t>Orçamento Nice - Filial 52</t>
  </si>
  <si>
    <t>OS #1105</t>
  </si>
  <si>
    <t>OS #1564</t>
  </si>
  <si>
    <t>OS #1590</t>
  </si>
  <si>
    <t>41069022213929397000142000000000011126023425540148</t>
  </si>
  <si>
    <t>Orçamento - American Glass</t>
  </si>
  <si>
    <t>Atualizar - Condor São José</t>
  </si>
  <si>
    <t>REGIÃO</t>
  </si>
  <si>
    <t xml:space="preserve">Devolução de venda de produção do estabelecimento </t>
  </si>
  <si>
    <t>Dentro do Estado</t>
  </si>
  <si>
    <t xml:space="preserve">Devolução de venda de mercadoria adquirida ou recebida de terceiros </t>
  </si>
  <si>
    <t>Dentro do estado</t>
  </si>
  <si>
    <t xml:space="preserve">Venda de produção do estabelecimento </t>
  </si>
  <si>
    <t xml:space="preserve">Venda de mercadoria adquirida ou recebida de terceiros </t>
  </si>
  <si>
    <t xml:space="preserve">Venda de produção do estabelecimento efetuada fora do estabelecimento </t>
  </si>
  <si>
    <t xml:space="preserve">Venda de produção do estabelecimento, destinada à Zona Franca de Manaus ou Áreas de Livre Comércio </t>
  </si>
  <si>
    <t xml:space="preserve">Venda de mercadoria adquirida ou recebida de terceiros, sujeita ao regime de substituição tributária, cujo imposto já foi retido anteriormente ST </t>
  </si>
  <si>
    <t xml:space="preserve">Remessa para industrialização por encomenda </t>
  </si>
  <si>
    <t xml:space="preserve">Retorno de mercadoria recebida para conserto ou reparo </t>
  </si>
  <si>
    <t xml:space="preserve">Outra saída de mercadoria ou prestação de serviço não especificado </t>
  </si>
  <si>
    <t xml:space="preserve">Venda de produção do estabelecimento destinada a não contribuinte </t>
  </si>
  <si>
    <t xml:space="preserve">Venda de mercadoria adquirida ou recebida de terceiros, destinada a não contribuinte </t>
  </si>
  <si>
    <t xml:space="preserve">Venda de mercadoria adquirida ou recebida de terceiros, sujeita ao regime de substituição tributária, destinada a contribuinte do ICMS </t>
  </si>
  <si>
    <t>Atualizar - Mondelez</t>
  </si>
  <si>
    <t>OS #1591</t>
  </si>
  <si>
    <t>OS #1592</t>
  </si>
  <si>
    <t>OS #1593</t>
  </si>
  <si>
    <t>OS #1532</t>
  </si>
  <si>
    <t>Orçamento - MA Goulart</t>
  </si>
  <si>
    <t>Orçamento - Menphis</t>
  </si>
  <si>
    <t>OS #1595</t>
  </si>
  <si>
    <t>OS #1593  / NF-e: 5466</t>
  </si>
  <si>
    <t>Condomínio Do Edifício Menphis Tower Batel</t>
  </si>
  <si>
    <t>41069022213929397000142000000000011226027768758325</t>
  </si>
  <si>
    <t>OS #1595  / NFS-e: 112</t>
  </si>
  <si>
    <t>Votorantim Cimentos S.A</t>
  </si>
  <si>
    <t>41069022213929397000142000000000011326024711933542</t>
  </si>
  <si>
    <t>OS #1506  / NFS-e: 113</t>
  </si>
  <si>
    <t>41260213929397000142550010000054661572026027</t>
  </si>
  <si>
    <t>41260313929397000142550010000054681602026036</t>
  </si>
  <si>
    <t>Estoque NF-e: 5468</t>
  </si>
  <si>
    <t>OS #1604</t>
  </si>
  <si>
    <t>Solicitar Coleta - Costa Sul</t>
  </si>
  <si>
    <t>OS #1337 / NF-e 5467</t>
  </si>
  <si>
    <t>41260313929397000142550010000054671602026039</t>
  </si>
  <si>
    <t>Costa Sul Pescados S/A</t>
  </si>
  <si>
    <t>Anotécnica Pintura a pó Ltda</t>
  </si>
  <si>
    <t>41260313929397000142550010000054691602026033</t>
  </si>
  <si>
    <t>Orçamento - Matozo</t>
  </si>
  <si>
    <t>Cadastrar - Calpie</t>
  </si>
  <si>
    <t>Filial 52 - Condor Super Center Ltda</t>
  </si>
  <si>
    <t>Grandfood Indústria Ltda</t>
  </si>
  <si>
    <t>41260302797390000106550010000011041612026038</t>
  </si>
  <si>
    <t>41069022213929397000142000000000011426031094687700</t>
  </si>
  <si>
    <t>OS #1588 / NFS-e 114</t>
  </si>
  <si>
    <t>Aprovação - Baston</t>
  </si>
  <si>
    <t>OS #1612</t>
  </si>
  <si>
    <t>41260313929397000142550010000054701612026037</t>
  </si>
  <si>
    <t>OS #1604 / NF-e: 5470</t>
  </si>
  <si>
    <t>Aprovação - Shopping Cidade</t>
  </si>
  <si>
    <t>OS #1614</t>
  </si>
  <si>
    <t>Orçamento - Transcap</t>
  </si>
  <si>
    <t>Condominio Shopping Cidade</t>
  </si>
  <si>
    <t>41069022213929397000142000000000011526039377070800</t>
  </si>
  <si>
    <t>OS #1615</t>
  </si>
  <si>
    <t>NF-e: 5471</t>
  </si>
  <si>
    <t>Fixdoor Soluções Industriais Ltda</t>
  </si>
  <si>
    <t>41260313929397000142550010000054711622026037</t>
  </si>
  <si>
    <t>41260313929397000142550010000054721622026034</t>
  </si>
  <si>
    <t>Complementar a NF-e: 5469</t>
  </si>
  <si>
    <t>PRODUTO</t>
  </si>
  <si>
    <t>VALOR M²</t>
  </si>
  <si>
    <t>PESO</t>
  </si>
  <si>
    <t>Vidro Laminado Incolor 8mm</t>
  </si>
  <si>
    <t>Vidro Laminado Incolor 10mm</t>
  </si>
  <si>
    <t>Vidro Laminado Incolor 12mm</t>
  </si>
  <si>
    <t>Vidro Laminado Incolor 15mm</t>
  </si>
  <si>
    <t>Porta Social Clean ACM</t>
  </si>
  <si>
    <t>Vidro Insulado 34mm</t>
  </si>
  <si>
    <t>Folha em Policarbonato</t>
  </si>
  <si>
    <t>Porta Flexdoor Folha Simples (Até 1200mm Largura)</t>
  </si>
  <si>
    <t>Porta Flexdoor Folha Dupla (De 1201mm a 3000mm)</t>
  </si>
  <si>
    <t>Peça de PVC Cinza / Cristal / Cinza - Porta Flexdoor</t>
  </si>
  <si>
    <t>Cortina em PVC Flexivel</t>
  </si>
  <si>
    <t>Vidro Temperado Incolor 10mm</t>
  </si>
  <si>
    <t>Vidro Temperado Incolor 12mm</t>
  </si>
  <si>
    <t>TEXT</t>
  </si>
  <si>
    <t>Proper</t>
  </si>
  <si>
    <t>lower</t>
  </si>
  <si>
    <t>UPPER</t>
  </si>
  <si>
    <t>FORMULA</t>
  </si>
  <si>
    <t>Valor Total m² = Area Total m² * Valor m²</t>
  </si>
  <si>
    <t>Formula Calculo Valor Total m²</t>
  </si>
  <si>
    <t>Area Total m² = Largura * Comprimento</t>
  </si>
  <si>
    <t>Formula Calculo Area Total m²</t>
  </si>
  <si>
    <t>Distância Km * 2 * 3</t>
  </si>
  <si>
    <t>Peso Total = Largura * Comprimento * Espessura/kg</t>
  </si>
  <si>
    <t>Formula Calculo Peso Vidro</t>
  </si>
  <si>
    <t>(Largura/2) * Altura * Valor m²</t>
  </si>
  <si>
    <t>Formula Calculo PVC</t>
  </si>
  <si>
    <t>((350 * Dias) + (100 * Dias * Func)) * (1 + 10 %)</t>
  </si>
  <si>
    <t>Formula Acomodação</t>
  </si>
  <si>
    <t xml:space="preserve">VALOR M² </t>
  </si>
  <si>
    <t>MEDIDAS</t>
  </si>
  <si>
    <t>X 2</t>
  </si>
  <si>
    <t>Largura</t>
  </si>
  <si>
    <t>Comprimento</t>
  </si>
  <si>
    <t>Espessura/kg</t>
  </si>
  <si>
    <t>Area Total m²</t>
  </si>
  <si>
    <t>Valor m²</t>
  </si>
  <si>
    <t>Valor Total m²</t>
  </si>
  <si>
    <t>Peso Total Vidro</t>
  </si>
  <si>
    <t>DESLOCAMENTO</t>
  </si>
  <si>
    <t>Distância KM:</t>
  </si>
  <si>
    <t>Valor:</t>
  </si>
  <si>
    <t>PORCENTAGEM</t>
  </si>
  <si>
    <t>Porcentagem</t>
  </si>
  <si>
    <t>Total</t>
  </si>
  <si>
    <t>ACOMODAÇÃO</t>
  </si>
  <si>
    <t>Dias</t>
  </si>
  <si>
    <t>Funcionários</t>
  </si>
  <si>
    <t>Valor</t>
  </si>
  <si>
    <t>ADD</t>
  </si>
  <si>
    <t>DISCOUNT</t>
  </si>
  <si>
    <t>PVC</t>
  </si>
  <si>
    <t>Organizar - Templates e-mail</t>
  </si>
  <si>
    <t>Organizar - Docs Produtos</t>
  </si>
  <si>
    <t>Formula Deslocamento</t>
  </si>
  <si>
    <t>Bassano Di Grappo Fundo de Investimento Imobiliário</t>
  </si>
  <si>
    <t>41260313929397000142550010000054731672026035</t>
  </si>
  <si>
    <t>41069022213929397000142000000000011626037887930239</t>
  </si>
  <si>
    <t>41069022202797390000106000000000000426031604533300</t>
  </si>
  <si>
    <t>41260302797390000106550010000011051672026031</t>
  </si>
  <si>
    <t>Auto Posto Transcap Ltda</t>
  </si>
  <si>
    <t>41069022213929397000142000000000011726032314153660</t>
  </si>
  <si>
    <t>41069022213929397000142000000000011826031315185102</t>
  </si>
  <si>
    <t>OS # 1513/ NF-e: 118</t>
  </si>
  <si>
    <t>41260313929397000142550010000054741672026032</t>
  </si>
  <si>
    <t>All Indústria e Comércio Ltda</t>
  </si>
  <si>
    <t>41260313929397000142550010000054751672026030</t>
  </si>
  <si>
    <t>41260313929397000142550010000054761672026037</t>
  </si>
  <si>
    <t>Tassio Andelison Grein</t>
  </si>
  <si>
    <t>Orçamento - Ebanx</t>
  </si>
  <si>
    <t>OS #1637</t>
  </si>
  <si>
    <t>41260313929397000142550010000054771682026037</t>
  </si>
  <si>
    <t>Z Tech Segurança Eletrônica Ltda</t>
  </si>
  <si>
    <t>Orçamento - LP Imóveis</t>
  </si>
  <si>
    <t>OS #1644</t>
  </si>
  <si>
    <t>Ordem de Produção</t>
  </si>
  <si>
    <t>41069022213929397000142000000000011926034728828070</t>
  </si>
  <si>
    <t>Orçamento - F2W</t>
  </si>
  <si>
    <t>OS #1645</t>
  </si>
  <si>
    <t>OS #1646</t>
  </si>
  <si>
    <t>Orçamento - Accor</t>
  </si>
  <si>
    <t>OS #1648</t>
  </si>
  <si>
    <t>OS #1649</t>
  </si>
  <si>
    <t>Organizar Papéis</t>
  </si>
  <si>
    <t>NF</t>
  </si>
  <si>
    <t>Porto Feliz</t>
  </si>
  <si>
    <t>Estoque</t>
  </si>
  <si>
    <t>41260313929397000142550010000054781712026037</t>
  </si>
  <si>
    <t>41069022213929397000142000000000012026034619340025</t>
  </si>
  <si>
    <t>41260313929397000142550010000054791712026034</t>
  </si>
  <si>
    <t>41260313929397000142550010000054801712026035</t>
  </si>
  <si>
    <t>OS #1490</t>
  </si>
  <si>
    <t>Vilela Vianna Advocacia e Consultoria</t>
  </si>
  <si>
    <t>F2W Locações de Escritório Ltda</t>
  </si>
  <si>
    <t>41069022213929397000142000000000012126030318863372</t>
  </si>
  <si>
    <t>41260302797390000106550010000011061742026032</t>
  </si>
  <si>
    <t>Marcos Cesar Borba Montagens Ltda</t>
  </si>
  <si>
    <t>41260313929397000142550010000054811742026030</t>
  </si>
  <si>
    <t>41069022213929397000142000000000012226035452085367</t>
  </si>
  <si>
    <t>Orçamento - WMS</t>
  </si>
  <si>
    <t>OS #1660</t>
  </si>
  <si>
    <t>Hotelaria Accor Brasil S/A</t>
  </si>
  <si>
    <t>41069022213929397000142000000000012326037430192233</t>
  </si>
  <si>
    <t>LP Imóveis Ltda</t>
  </si>
  <si>
    <t>41260313929397000142550010000054821742026038</t>
  </si>
  <si>
    <t>Orçamento - Torre Sul</t>
  </si>
  <si>
    <t>OS #1667</t>
  </si>
  <si>
    <t>OS #1635</t>
  </si>
  <si>
    <t>OS #1518</t>
  </si>
  <si>
    <t>Salários</t>
  </si>
  <si>
    <t>Férias e 13°</t>
  </si>
  <si>
    <t>Categoria</t>
  </si>
  <si>
    <t>Encargos</t>
  </si>
  <si>
    <t>Benefícios</t>
  </si>
  <si>
    <t>OS #1669</t>
  </si>
  <si>
    <t>V_Folha_Total</t>
  </si>
  <si>
    <t>Folha Total NC</t>
  </si>
  <si>
    <t>Pironti e Moura Advogados Associados</t>
  </si>
  <si>
    <t>41069022213929397000142000000000012426030435092900</t>
  </si>
  <si>
    <t>Férias e 13°/ Mês</t>
  </si>
  <si>
    <t>Veículos</t>
  </si>
  <si>
    <t>Manutenção</t>
  </si>
  <si>
    <t>Depreciação</t>
  </si>
  <si>
    <t>Frota Veículos</t>
  </si>
  <si>
    <t>Combustível</t>
  </si>
  <si>
    <t>V_Frota_Veiculos</t>
  </si>
  <si>
    <t>H_Produtiva</t>
  </si>
  <si>
    <t>K_Valor_KM</t>
  </si>
  <si>
    <t>P_Imposto</t>
  </si>
  <si>
    <t>CSP</t>
  </si>
  <si>
    <t>S_Quant</t>
  </si>
  <si>
    <t>S_Horas</t>
  </si>
  <si>
    <t>S_Dist</t>
  </si>
  <si>
    <t>S_Mat</t>
  </si>
  <si>
    <t>Horas</t>
  </si>
  <si>
    <t>Distância</t>
  </si>
  <si>
    <t>Material</t>
  </si>
  <si>
    <t>(Funcionários * Horas * CHH) + (Horas * CHV) + (KM * Valor KM) + Materiais</t>
  </si>
  <si>
    <t>Baston Indústria de Aerossóis Ltda</t>
  </si>
  <si>
    <t>41260313929397000142550010000054831762026030</t>
  </si>
  <si>
    <t>41069022213929397000142000000000012526037410572674</t>
  </si>
  <si>
    <t>Condomínio Edifício Torre Sul</t>
  </si>
  <si>
    <t>41069022213929397000142000000000012626034995510774</t>
  </si>
  <si>
    <t>Salários Nice</t>
  </si>
  <si>
    <t>Folha Total Nice</t>
  </si>
  <si>
    <t>Benefícios Nice</t>
  </si>
  <si>
    <t>Encargos Nice</t>
  </si>
  <si>
    <t>Férias e 13°/ Mês Nice</t>
  </si>
  <si>
    <t>Veículos Nice</t>
  </si>
  <si>
    <t>V_Folha_Total_Nice</t>
  </si>
  <si>
    <t>V_Frota_Veiculos_Nice</t>
  </si>
  <si>
    <t>CHH</t>
  </si>
  <si>
    <t>CHV</t>
  </si>
  <si>
    <t>Custo Serviço Prestado</t>
  </si>
  <si>
    <t>Custo Hora Homem</t>
  </si>
  <si>
    <t>Custo Hora Veiculo</t>
  </si>
  <si>
    <t>(Folha + Encargos) / Horas Produtivas</t>
  </si>
  <si>
    <t>(Manutenção + Depreciação) / Horas Produtivas</t>
  </si>
  <si>
    <t>Sindicato dos Empregados em Estabelecimentos Bancários</t>
  </si>
  <si>
    <t>Média Final</t>
  </si>
  <si>
    <t>41069022213929397000142000000000012726035522140521</t>
  </si>
  <si>
    <t>OS #1651</t>
  </si>
  <si>
    <t>41260313929397000142550010000054841772026030</t>
  </si>
  <si>
    <t>41260313929397000142550010000054851772026038</t>
  </si>
  <si>
    <t>41260313929397000142550010000054861772026035</t>
  </si>
  <si>
    <t>41260313929397000142550010000054871772026032</t>
  </si>
  <si>
    <t>OS #1676</t>
  </si>
  <si>
    <t>OS #1678</t>
  </si>
  <si>
    <t>OS #1628</t>
  </si>
  <si>
    <t>Orçamento - Pacheco</t>
  </si>
  <si>
    <t>OS #1681</t>
  </si>
  <si>
    <t>OS #1680</t>
  </si>
  <si>
    <t>Orçamento - Só Frio</t>
  </si>
  <si>
    <t>Orçamento - Cia Beal</t>
  </si>
  <si>
    <t>OS #1110</t>
  </si>
  <si>
    <t>OS #1682</t>
  </si>
  <si>
    <t>OS #1685</t>
  </si>
  <si>
    <t>41069022213929397000142000000000012826031446430855</t>
  </si>
  <si>
    <t>41260313929397000142550010000054881782026032</t>
  </si>
  <si>
    <t>Negretto &amp; Bortoluzzi Nazário Advogados Associados</t>
  </si>
  <si>
    <t>Industrialização</t>
  </si>
  <si>
    <t>OS #1550</t>
  </si>
  <si>
    <t>41069022213929397000142000000000012926037890595953</t>
  </si>
  <si>
    <t>OS #1686</t>
  </si>
  <si>
    <t>41260313929397000142550010000054901782026030</t>
  </si>
  <si>
    <t>Hergen S/A Máquinas e Equipamentos</t>
  </si>
  <si>
    <t>41069022213929397000142000000000013026038846599556</t>
  </si>
  <si>
    <t>41069022213929397000142000000000013126031834421400</t>
  </si>
  <si>
    <t>41260313929397000142550010000054911782026038</t>
  </si>
  <si>
    <t>FML Incorporadora Ltda</t>
  </si>
  <si>
    <t>41069022213929397000142000000000013226037277174032</t>
  </si>
  <si>
    <t>Ficha - FML</t>
  </si>
  <si>
    <t xml:space="preserve">Orçamento - FML </t>
  </si>
  <si>
    <t>OS #</t>
  </si>
  <si>
    <t>41260313929397000142550010000054891812026032</t>
  </si>
  <si>
    <t>41069022213929397000142000000000013326038318783510</t>
  </si>
  <si>
    <t>Aprovação - Selection</t>
  </si>
  <si>
    <t>OS #1512</t>
  </si>
  <si>
    <t>Orçamento - Jacomar</t>
  </si>
  <si>
    <t>Orçamento - Village Hotel</t>
  </si>
  <si>
    <t>OS #1695</t>
  </si>
  <si>
    <t>OPERADOR CENTRAL VISIO+ 100</t>
  </si>
  <si>
    <t>TRINCO AUTOMÁTICO VISIO+ 100</t>
  </si>
  <si>
    <t>Landis+Gyr Equipamentos de Medição Ltda</t>
  </si>
  <si>
    <t>41260313929397000142550010000054931822026038</t>
  </si>
  <si>
    <t>OS #1603</t>
  </si>
  <si>
    <t>OS #1694</t>
  </si>
  <si>
    <t>Orçamento - Arce</t>
  </si>
  <si>
    <t>OS #1699</t>
  </si>
  <si>
    <t>Ficha de Serviço - Gusto &amp; Henri</t>
  </si>
  <si>
    <t>41260313929397000142550010000054921832026033</t>
  </si>
  <si>
    <t>41069022213929397000142000000000013426039293481657</t>
  </si>
  <si>
    <t>Emitir Notas - Renault</t>
  </si>
  <si>
    <t>OS #1345</t>
  </si>
  <si>
    <t>Emitir Notas - Kutassy</t>
  </si>
  <si>
    <t>OS #1448</t>
  </si>
  <si>
    <t>Orçamento - Bloco Sul</t>
  </si>
  <si>
    <t>OS #1701</t>
  </si>
  <si>
    <t>OS #1702</t>
  </si>
  <si>
    <t>OS #1112</t>
  </si>
  <si>
    <t>Orçamento - Monseg</t>
  </si>
  <si>
    <t>Orçamento - Raja</t>
  </si>
  <si>
    <t>OS #1704</t>
  </si>
  <si>
    <t>OS #1705</t>
  </si>
  <si>
    <t>OS #1113</t>
  </si>
  <si>
    <t>OS #1707</t>
  </si>
  <si>
    <t>OS #1706</t>
  </si>
  <si>
    <t>Orçamento - EQS</t>
  </si>
  <si>
    <t>OS #1709</t>
  </si>
  <si>
    <t>Orçamento - Globo</t>
  </si>
  <si>
    <t>OS #1711</t>
  </si>
  <si>
    <t>UNIDADE</t>
  </si>
  <si>
    <t>QTDE.</t>
  </si>
  <si>
    <t>NCM</t>
  </si>
  <si>
    <t>V. UNIT.</t>
  </si>
  <si>
    <t>V. TOTAL</t>
  </si>
  <si>
    <t>(Un)</t>
  </si>
  <si>
    <t>Globo Esquadrias de Alumínio</t>
  </si>
  <si>
    <t>OPERADOR LATERAL VISIO+ 125</t>
  </si>
  <si>
    <t>TRINCO AUTOMÁTICO VISIO+ 125</t>
  </si>
  <si>
    <t>RADAR MANUSA PLANAR</t>
  </si>
  <si>
    <t>SENSOR HIBRÍDO DDS-B</t>
  </si>
  <si>
    <t>SELETOR OPTIMA+</t>
  </si>
  <si>
    <t>ESQUADRIA F20 - MÓVEL</t>
  </si>
  <si>
    <t>KIT DE EXTENSÃO VISIO+ 125</t>
  </si>
  <si>
    <t>José Soares De Araújo</t>
  </si>
  <si>
    <t>OPERADOR CENTRAL ACTIVA 100</t>
  </si>
  <si>
    <t>SELETOR OPTIMA V2</t>
  </si>
  <si>
    <t>TRINCO AUTOMÁTICO ACTIVA</t>
  </si>
  <si>
    <t>FOTOCÉLULA EMISSOR RECEPTOR</t>
  </si>
  <si>
    <t>SERVIÇO DE PINTURA / ANODIZAÇÃO DE OPERADOR / FOLHA</t>
  </si>
  <si>
    <t>1.00</t>
  </si>
  <si>
    <t>SERVIÇO</t>
  </si>
  <si>
    <t>INSTALAÇÃO DE PORTA AUTOMÁTICA - HORÁRIO COMERCIAL</t>
  </si>
  <si>
    <t>TRANSPORTE / FRETE</t>
  </si>
  <si>
    <t>QTDE</t>
  </si>
  <si>
    <t>(M²)</t>
  </si>
  <si>
    <t>KIT TELESCÓPICO LATERAL</t>
  </si>
  <si>
    <t>ESQUADRIA LINHA GOLD - MÓVEL</t>
  </si>
  <si>
    <t>ESQUADRIA LINHA GOLD - FIXA</t>
  </si>
  <si>
    <t>VIDRO LAMINADO - INCOLOR/10MM</t>
  </si>
  <si>
    <t>ENCODER ACTIVA / BRAVO / RUNN</t>
  </si>
  <si>
    <t>REVISÃO GERAL, REGULAGENS E AJUSTES EM PORTA AUTOMÁTICA</t>
  </si>
  <si>
    <t>ELETRÔNICA VISIO 125</t>
  </si>
  <si>
    <t>Monseg-Sistemas De Segurança</t>
  </si>
  <si>
    <t>OPERADOR CENTRAL VISIO+ 125</t>
  </si>
  <si>
    <t>Liga das Senhoras Católicas</t>
  </si>
  <si>
    <t>PERFIL DE ALUMÍNIO</t>
  </si>
  <si>
    <t>CARRO FOLHA MÓVEL BRAVO</t>
  </si>
  <si>
    <t>Trelrium Comercio de Combustiveis</t>
  </si>
  <si>
    <t>INSTALAÇÃO, REGULAGEM E AJUSTES</t>
  </si>
  <si>
    <t>POLIA VISIO</t>
  </si>
  <si>
    <t>GUIA DE PISO F20 / E20</t>
  </si>
  <si>
    <t>BATERIA VISIO / VISIO+</t>
  </si>
  <si>
    <t>KIT TRANSMISSÃO ACTIVA / VISIO 100 / VISIO+ 100</t>
  </si>
  <si>
    <t>CORREIA DE TRAÇÃO 12MM - ACTIVA / VISIO+ 100</t>
  </si>
  <si>
    <t>REENVIO ACTIVA</t>
  </si>
  <si>
    <t>3.00</t>
  </si>
  <si>
    <t>2.00</t>
  </si>
  <si>
    <t>Cattalini Terminais Marítimos</t>
  </si>
  <si>
    <t>Supermercado Jacomar</t>
  </si>
  <si>
    <t>Mondelez Brasil</t>
  </si>
  <si>
    <t>EQS Engenharia</t>
  </si>
  <si>
    <t>Decore Glass</t>
  </si>
  <si>
    <t>Concessionária do Bloco Sul</t>
  </si>
  <si>
    <t>FML Incorporadora</t>
  </si>
  <si>
    <t>LP Imóveis</t>
  </si>
  <si>
    <t>TAXA DE DESLOCAMENTO</t>
  </si>
  <si>
    <t>INSTALAÇÃO DE PORTA AUTOMÁTICA - FORA DE HORÁRIO COMERCIAL</t>
  </si>
  <si>
    <t>Auto Posto Transcap</t>
  </si>
  <si>
    <t>PERFIL POLICARBONATO - 10MM</t>
  </si>
  <si>
    <t>BATERIA ACTIVA</t>
  </si>
  <si>
    <t>GUIA DE PISO T20</t>
  </si>
  <si>
    <t>Netcom Construtora</t>
  </si>
  <si>
    <t>DETECTOR DE PROXIMIDADE - NC</t>
  </si>
  <si>
    <t>VIDRO LAMINADO - INCOLOR/8MM</t>
  </si>
  <si>
    <t>VIGA ESTRUTURAL</t>
  </si>
  <si>
    <t>REVISÃO GERAL, REGULAGENS E AJUSTES EM PORTA AUTOMÁTICA - CÓDIGO 14.01</t>
  </si>
  <si>
    <t>JM Clean</t>
  </si>
  <si>
    <t>ADEQUAÇÃO DE PORTA AUTOMÁTICA INDUSTRIAL</t>
  </si>
  <si>
    <t>Nível Serviços Administrativos</t>
  </si>
  <si>
    <t>PORTA AUTOMÁTICA INDUSTRIAL DE ENVELOPAR</t>
  </si>
  <si>
    <t>BOTOEIRA DE ABERTURA - NO TOUCH</t>
  </si>
  <si>
    <t>SISTEMA DE INTERTRAVAMENTO E INTERFACE</t>
  </si>
  <si>
    <t>Fullpack Embalagens</t>
  </si>
  <si>
    <t>DESPESAS COM ACOMODAÇÕES, REFEIÇÕES E FUNCIONÁRIOS</t>
  </si>
  <si>
    <t>OPERADOR LATERAL VISIO+ 100</t>
  </si>
  <si>
    <t>KIT DE EXTENSÃO VISIO+ 100</t>
  </si>
  <si>
    <t>ESQUADRIA F20 - FIXA</t>
  </si>
  <si>
    <t>Selection Locadora</t>
  </si>
  <si>
    <t>Construtora NSG</t>
  </si>
  <si>
    <t>Arce Construtora</t>
  </si>
  <si>
    <t>VIDRO TEMPERADO - INCOLOR/10MM</t>
  </si>
  <si>
    <t>Frigorifico Raja Ltda</t>
  </si>
  <si>
    <t>41260302797390000106550010000011071852026034</t>
  </si>
  <si>
    <t>PRODUTOS</t>
  </si>
  <si>
    <t>Preço Médio</t>
  </si>
  <si>
    <t>Preço Máximo</t>
  </si>
  <si>
    <t>Preço Minimo</t>
  </si>
  <si>
    <t>UND</t>
  </si>
  <si>
    <t>SERVIÇOS</t>
  </si>
  <si>
    <t>GFA Hotelaria</t>
  </si>
  <si>
    <t>VIDRO TEMPERADO - ACIDATO/10MM</t>
  </si>
  <si>
    <t>Mobilli Sistema de Divisórias</t>
  </si>
  <si>
    <t>ADAPTAÇÃO DE CAIXILHO</t>
  </si>
  <si>
    <t>SUPORTE SUPERIOR ESPECIAL</t>
  </si>
  <si>
    <t>MONTAGEM / DESMONTAGEM DE PORTA AUTOMÁTICA</t>
  </si>
  <si>
    <t>Kutassy Engenharia</t>
  </si>
  <si>
    <t>Risotolândia Indústria</t>
  </si>
  <si>
    <t>PORTA AUTOMÁTICA INDUSTRIAL DE ENROLAR - NC</t>
  </si>
  <si>
    <t>Village Hotel</t>
  </si>
  <si>
    <t>OS #1717</t>
  </si>
  <si>
    <t>JRM Esquadrias</t>
  </si>
  <si>
    <t>Casc Administradora de Shopping</t>
  </si>
  <si>
    <t>REENVIO ACTIVA / VISIO</t>
  </si>
  <si>
    <t>POLIA BRAVO</t>
  </si>
  <si>
    <t>OS #1691</t>
  </si>
  <si>
    <t>41069022213929397000142000000000013526039665334018</t>
  </si>
  <si>
    <t>Condominio Centro Empresarial Engenheiro Jose Joaquim</t>
  </si>
  <si>
    <t>41069022213929397000142000000000013626036928527864</t>
  </si>
  <si>
    <t>Centro Diagnóstico Agua Verde</t>
  </si>
  <si>
    <t>PERFIL ALUMINIO RODADURA - BRAVO / ACTIVA / VISIO 100</t>
  </si>
  <si>
    <t>41260313929397000142550010000054941882026031</t>
  </si>
  <si>
    <t>41260313929397000142550010000054951892026031</t>
  </si>
  <si>
    <t>41260313929397000142550010000054961892026039</t>
  </si>
  <si>
    <t>41260313929397000142550010000054971892026036</t>
  </si>
  <si>
    <t>Emitir Notas - Neurologia</t>
  </si>
  <si>
    <t>Instituto de Neurologia de Curitiba S/A</t>
  </si>
  <si>
    <t>41069022213929397000142000000000013726033304296380</t>
  </si>
  <si>
    <t>41260313929397000142550010000054981892026033</t>
  </si>
  <si>
    <t>41260413929397000142550010000054991902026040</t>
  </si>
  <si>
    <t>OS #1613</t>
  </si>
  <si>
    <t>Orçamento - Top Mix</t>
  </si>
  <si>
    <t>41069022213929397000142000000000013826049570412796</t>
  </si>
  <si>
    <t>OS #1729</t>
  </si>
  <si>
    <t>41069022213929397000142000000000013926047897241332</t>
  </si>
  <si>
    <t>Visio + 100</t>
  </si>
  <si>
    <t>Visio + 125</t>
  </si>
  <si>
    <t>Visio+ 125 HD</t>
  </si>
  <si>
    <t>Lateral</t>
  </si>
  <si>
    <t>Central</t>
  </si>
  <si>
    <t>Peso Max por Folha</t>
  </si>
  <si>
    <t>41260413929397000142550010000055001952026046</t>
  </si>
  <si>
    <t>41069022213929397000142000000000014026045365991446</t>
  </si>
  <si>
    <t>41260413929397000142550010000055011952026043</t>
  </si>
  <si>
    <t>41069022213929397000142000000000014126043769939052</t>
  </si>
  <si>
    <t>41069022213929397000142000000000014226048414174380</t>
  </si>
  <si>
    <t>Emitir Notas - Filial 14 Condor</t>
  </si>
  <si>
    <t>OS #1733</t>
  </si>
  <si>
    <t>Emitir Notas - In Haus</t>
  </si>
  <si>
    <t>Upload SG3</t>
  </si>
  <si>
    <t>Emitir Notas - JM Clean</t>
  </si>
  <si>
    <t>OS #1556</t>
  </si>
  <si>
    <t>41069022202797390000106000000000000526041117088175</t>
  </si>
  <si>
    <t>JM Clean Comércio de Produtos de Higiene e Limpeza Ltda</t>
  </si>
  <si>
    <t>41069022213929397000142000000000014326046062117544</t>
  </si>
  <si>
    <t>41069022213929397000142000000000014426047788163440</t>
  </si>
  <si>
    <t>Concessionária Bloco Sul S/A</t>
  </si>
  <si>
    <t>41260413929397000142550010000055021962026043</t>
  </si>
  <si>
    <t>Emitir Notas - Casc Administradora</t>
  </si>
  <si>
    <t>OS #1718</t>
  </si>
  <si>
    <t>41069022213929397000142000000000014526048008588228</t>
  </si>
  <si>
    <t>Casc Administradora de Shopping Centers S/A</t>
  </si>
  <si>
    <t>41260413929397000142550010000055031962026040</t>
  </si>
  <si>
    <t>Filial 14 - Condor Super Center Ltda</t>
  </si>
  <si>
    <t>41069022213929397000142000000000014626040139858545</t>
  </si>
  <si>
    <t>2.</t>
  </si>
  <si>
    <t>CARRO FOLHA MÓVEL ACTIVA / VISIO 100 / VISIO+ 100</t>
  </si>
  <si>
    <t>Orçamento - ABL System</t>
  </si>
  <si>
    <t>OS #1742</t>
  </si>
  <si>
    <t>1.</t>
  </si>
  <si>
    <t>ABL System</t>
  </si>
  <si>
    <t>Gusto &amp; Henri</t>
  </si>
  <si>
    <t>4.00</t>
  </si>
  <si>
    <t>Hospital Nossa Senhora das Graças</t>
  </si>
  <si>
    <t>BOTOEIRA DE EMERGÊNCIA TIPO COGUMELO</t>
  </si>
  <si>
    <t>25.00</t>
  </si>
  <si>
    <t>CAIXA PLASTICA COM BOTOEIRA DE EMERGÊNCIA TIPO COGUMELO</t>
  </si>
  <si>
    <t>Itapema Camara Municipal</t>
  </si>
  <si>
    <t>Antonio Paes Neto</t>
  </si>
  <si>
    <t>PEÇA DE P.V.C - PRETO</t>
  </si>
  <si>
    <t>Sig Combibloc</t>
  </si>
  <si>
    <t>MANUTENÇÃO CORRETIVA EM PORTA AUTOMÁTICA</t>
  </si>
  <si>
    <t>10.00</t>
  </si>
  <si>
    <t>IBQ - Indústrias Quimicas</t>
  </si>
  <si>
    <t>Filial 14 - Condor Super Center</t>
  </si>
  <si>
    <t>AD&amp;N Consultoria</t>
  </si>
  <si>
    <t>CONTROLE DE ACESSO BIOMÉTRICO</t>
  </si>
  <si>
    <t>Top Mix</t>
  </si>
  <si>
    <t>28.00</t>
  </si>
  <si>
    <t>SECOVIMED</t>
  </si>
  <si>
    <t>OPERADOR BATENTE VECTOR</t>
  </si>
  <si>
    <t>EXTENSÃO DE EIXO 50MM VECTOR</t>
  </si>
  <si>
    <t>BRAÇO DE ARRASTE VECTOR</t>
  </si>
  <si>
    <t>Landis+Gyr</t>
  </si>
  <si>
    <t>INSTALAÇÃO DE CORTINA DE P.V.C - CÓDIGO 14.06</t>
  </si>
  <si>
    <t>CORTINA DE P.V.C - STANDARD</t>
  </si>
  <si>
    <t>Nova Vidraçaria</t>
  </si>
  <si>
    <t>N°</t>
  </si>
  <si>
    <t>BANDEIRA SUPERIOR</t>
  </si>
  <si>
    <t>PÓRTICO ESTRUTURAL</t>
  </si>
  <si>
    <t>CARRO FOLHA MÓVEL VISIO 125 / VISIO+ 125</t>
  </si>
  <si>
    <t>Kutassy Engenharia Ltda</t>
  </si>
  <si>
    <t>41260413929397000142550010000055041962026048</t>
  </si>
  <si>
    <t>Emitir Notas - Trelrium</t>
  </si>
  <si>
    <t>OS #1674</t>
  </si>
  <si>
    <t>Emitir Notas - Casc</t>
  </si>
  <si>
    <t>Emitir Notas - Baston</t>
  </si>
  <si>
    <t>Emitir Notas - Gusto &amp; Henri</t>
  </si>
  <si>
    <t>Emitir Notas - Palladium</t>
  </si>
  <si>
    <t>Emitir Notas - LP Imóveis</t>
  </si>
  <si>
    <t>Emitir Notas - Netcom</t>
  </si>
  <si>
    <t>Emitir Notas - Vilela</t>
  </si>
  <si>
    <t>Emitir Notas - FML</t>
  </si>
  <si>
    <t>Emitir Notas - Landis+Gyr</t>
  </si>
  <si>
    <t>Emitir Notas - Accor</t>
  </si>
  <si>
    <t>Emitir Notas - Cia Beal</t>
  </si>
  <si>
    <t>Emitir Notas - FML Incorporadora</t>
  </si>
  <si>
    <t>Emitir Notas - Hergen</t>
  </si>
  <si>
    <t>Emitir Notas - Pironti</t>
  </si>
  <si>
    <t>Emitir Notas - Residence Batel</t>
  </si>
  <si>
    <t>Emitir Notas - Sindicato Bancários</t>
  </si>
  <si>
    <t>Emitir Notas - Torre Sul</t>
  </si>
  <si>
    <t>Emitir Notas - All Industria</t>
  </si>
  <si>
    <t>Emitir Notas - Alumisistem</t>
  </si>
  <si>
    <t>Emitir Notas - Anotécnica</t>
  </si>
  <si>
    <t>Emitir Notas - Associação Franciscana</t>
  </si>
  <si>
    <t>Emitir Notas - Baggio</t>
  </si>
  <si>
    <t>Emitir Notas - Bloco Sul</t>
  </si>
  <si>
    <t>Emitir Notas - Bom Jesus</t>
  </si>
  <si>
    <t>Emitir Notas - Business Center</t>
  </si>
  <si>
    <t>Emitir Notas - Calpie</t>
  </si>
  <si>
    <t>Emitir Notas - Calpie / Estoque</t>
  </si>
  <si>
    <t>Emitir Notas - Calpie/Vilelo</t>
  </si>
  <si>
    <t>Emitir Notas - Casa de Carne</t>
  </si>
  <si>
    <t>Emitir Notas - Costa Sul</t>
  </si>
  <si>
    <t>Emitir Notas - Costantini</t>
  </si>
  <si>
    <t>Emitir Notas - Ebanx</t>
  </si>
  <si>
    <t xml:space="preserve">Emitir Notas - Ebanx </t>
  </si>
  <si>
    <t>Emitir Notas - Edimar</t>
  </si>
  <si>
    <t>Emitir Notas - Filial 11</t>
  </si>
  <si>
    <t>Emitir Notas - Filial 24</t>
  </si>
  <si>
    <t>Emitir Notas - Filial 49</t>
  </si>
  <si>
    <t>Emitir Notas - Filial 52</t>
  </si>
  <si>
    <t>Emitir Notas - Fixdoor</t>
  </si>
  <si>
    <t>Emitir Notas - Frimesa</t>
  </si>
  <si>
    <t>Emitir Notas - Galvanização</t>
  </si>
  <si>
    <t>Emitir Notas - Gedanski</t>
  </si>
  <si>
    <t>Emitir Notas - Glaser</t>
  </si>
  <si>
    <t>Emitir Notas - Grandfood</t>
  </si>
  <si>
    <t>Emitir Notas - Hexion</t>
  </si>
  <si>
    <t>Emitir Notas - Hospital Olhos</t>
  </si>
  <si>
    <t xml:space="preserve">Emitir Notas - Hotel 10 </t>
  </si>
  <si>
    <t>Emitir Notas - Hotel Curitiba</t>
  </si>
  <si>
    <t xml:space="preserve">Emitir Notas - In Haus </t>
  </si>
  <si>
    <t>Emitir Notas - Kharina</t>
  </si>
  <si>
    <t xml:space="preserve">Emitir Notas - Lightera </t>
  </si>
  <si>
    <t>Emitir Notas - MA Goulart</t>
  </si>
  <si>
    <t>Emitir Notas - Manusa</t>
  </si>
  <si>
    <t>Emitir Notas - Mapa</t>
  </si>
  <si>
    <t>Emitir Notas - Menphis</t>
  </si>
  <si>
    <t>Emitir Notas - Meotti</t>
  </si>
  <si>
    <t>Emitir Notas - Metalfim</t>
  </si>
  <si>
    <t xml:space="preserve">Emitir Notas - Mondelez </t>
  </si>
  <si>
    <t>Emitir Notas - NB</t>
  </si>
  <si>
    <t>Emitir Notas - Onet</t>
  </si>
  <si>
    <t xml:space="preserve">Emitir Notas - Palladium </t>
  </si>
  <si>
    <t xml:space="preserve">Emitir Notas - Parth </t>
  </si>
  <si>
    <t xml:space="preserve">Emitir Notas - PGE </t>
  </si>
  <si>
    <t>Emitir Notas - Pies &amp; Meotti</t>
  </si>
  <si>
    <t>Emitir Notas - PIO</t>
  </si>
  <si>
    <t xml:space="preserve">Emitir Notas - Remessa </t>
  </si>
  <si>
    <t xml:space="preserve">Emitir Notas - Renault </t>
  </si>
  <si>
    <t>Emitir Notas - Shoppiung Cidade</t>
  </si>
  <si>
    <t xml:space="preserve">Emitir Notas - SIG </t>
  </si>
  <si>
    <t>Emitir Notas - Truth Finance</t>
  </si>
  <si>
    <t>Emitir Notas - Votorantim</t>
  </si>
  <si>
    <t>Emitir Notas- JJGC</t>
  </si>
  <si>
    <t>Emitir Notas - Negretto</t>
  </si>
  <si>
    <t>Emitir Notas - Condor</t>
  </si>
  <si>
    <t>Emitir Notas - 4L Serviços</t>
  </si>
  <si>
    <t>Aprovação - Curitiba Business</t>
  </si>
  <si>
    <t>Aprovação - Neoortho Thá</t>
  </si>
  <si>
    <t>Atualizar - Docs SG3</t>
  </si>
  <si>
    <t>Atualizar - Sicredi</t>
  </si>
  <si>
    <t>Cancelar Notas - Sicredi</t>
  </si>
  <si>
    <t>Cancelar Notas - Manusa</t>
  </si>
  <si>
    <t>Cancelar Notas - Rissi</t>
  </si>
  <si>
    <t>Cancelar Notas - Lightera</t>
  </si>
  <si>
    <t>Ficha de Serviço - Neuro Inc</t>
  </si>
  <si>
    <t>Ficha de Serviço - Residence Batel</t>
  </si>
  <si>
    <t>Ficha de Serviço - Transcap</t>
  </si>
  <si>
    <t>Organizar - Clientes e Fornecedores</t>
  </si>
  <si>
    <t>Organizar - Parametros VHSYS</t>
  </si>
  <si>
    <t>Orçamento - Z Tech</t>
  </si>
  <si>
    <t>Orçaemnto - Fermisul</t>
  </si>
  <si>
    <t>Orçamento - Cota Máxima</t>
  </si>
  <si>
    <t>Emitir Notas - Roseli</t>
  </si>
  <si>
    <t>OS #1116</t>
  </si>
  <si>
    <t>OS #1118</t>
  </si>
  <si>
    <t>41260402797390000106550010000011081972026040</t>
  </si>
  <si>
    <t>Roseli</t>
  </si>
  <si>
    <t>41069022213929397000142000000000014726044675068724</t>
  </si>
  <si>
    <t>41260413929397000142550010000055051972026048</t>
  </si>
  <si>
    <t>Orçamento - Thá</t>
  </si>
  <si>
    <t>41069022213929397000142000000000014826046239595526</t>
  </si>
  <si>
    <t>41260413929397000142550010000055061972026045</t>
  </si>
  <si>
    <t>OS #1747</t>
  </si>
  <si>
    <t>OS #1748</t>
  </si>
  <si>
    <t>OS #1749</t>
  </si>
  <si>
    <t>Emitir Notas - Z Tech</t>
  </si>
  <si>
    <t>41260413929397000142550010000055071972026042</t>
  </si>
  <si>
    <t>Orçamento - Aramis</t>
  </si>
  <si>
    <t>OS #1751</t>
  </si>
  <si>
    <t>Orçamento - Brothers</t>
  </si>
  <si>
    <t>Orçamento - Madalosso</t>
  </si>
  <si>
    <t>OS #1752</t>
  </si>
  <si>
    <t>OS #1753</t>
  </si>
  <si>
    <t>OS #1754</t>
  </si>
  <si>
    <t>OS #1755</t>
  </si>
  <si>
    <t>Orçamento - Flowork</t>
  </si>
  <si>
    <t>Emitir Notas - Sumattone</t>
  </si>
  <si>
    <t>OS #1756</t>
  </si>
  <si>
    <t>OS #1119</t>
  </si>
  <si>
    <t>41069022213929397000142000000000014926040907856720</t>
  </si>
  <si>
    <t>Orçamento - Cooperativa Agraria</t>
  </si>
  <si>
    <t>Orçamento - Jõao Vitor</t>
  </si>
  <si>
    <t>OS #1758</t>
  </si>
  <si>
    <t>OS #1759</t>
  </si>
  <si>
    <t>Orçamento - União Champagnat</t>
  </si>
  <si>
    <t>Orçamento - Fonocenter</t>
  </si>
  <si>
    <t>OS #1761-1762</t>
  </si>
  <si>
    <t>Emitir Notas - EQS</t>
  </si>
  <si>
    <t>Emitir Notas - Dora</t>
  </si>
  <si>
    <t>OS #1763</t>
  </si>
  <si>
    <t>Sumattone Construtora e Incorporadora Ltda</t>
  </si>
  <si>
    <t>41260413929397000142550010000055081992026045</t>
  </si>
  <si>
    <t>41069022213929397000142000000000015026046466267965</t>
  </si>
  <si>
    <t>EQS Engenharia Ltda</t>
  </si>
  <si>
    <t>41069022213929397000142000000000015126043566079167</t>
  </si>
  <si>
    <t>Orçamento - Medlabs</t>
  </si>
  <si>
    <t>Orçamento - HCL</t>
  </si>
  <si>
    <t>OS #1767</t>
  </si>
  <si>
    <t>OS #1768</t>
  </si>
  <si>
    <t>Alimentar Base - Serviços &amp; Produtos</t>
  </si>
  <si>
    <t>Ficha Serviço - EQS</t>
  </si>
  <si>
    <t>Ficha Serviço - Arcor</t>
  </si>
  <si>
    <t>Ficha Serviço - Posto Tuiuti</t>
  </si>
  <si>
    <t>Ficha Serviço - Filial 14 Condor</t>
  </si>
  <si>
    <t>41069022213929397000142000000000015226043058967100</t>
  </si>
  <si>
    <t>Emitir Notas - Selection</t>
  </si>
  <si>
    <t>Selection Locadora de Veículos Ltda</t>
  </si>
  <si>
    <t>Orçamento - CG de Castro</t>
  </si>
  <si>
    <t>Ficha Serviço - Palladium</t>
  </si>
  <si>
    <t>41260402797390000106550010000011091103202601</t>
  </si>
  <si>
    <t>OS #1122</t>
  </si>
  <si>
    <t>MANUTENÇÃO CORRETIVA - CÓDIGO DE SERVIÇO 14.02</t>
  </si>
  <si>
    <t>ELETRÔNICA VISIO 100</t>
  </si>
  <si>
    <t>Graffo Paranaense</t>
  </si>
  <si>
    <t>PORTA AUTOMÁTICA INDUSTRIAL DE ENROLA CORTA FOGO P-240</t>
  </si>
  <si>
    <t>Z Tech Segurança</t>
  </si>
  <si>
    <t>Coferpan</t>
  </si>
  <si>
    <t>CENTRAL CONTROLADORA</t>
  </si>
  <si>
    <t>Dora Empreeendimentos</t>
  </si>
  <si>
    <t>Dora Empreendimentos</t>
  </si>
  <si>
    <t>Rissi Fachadas</t>
  </si>
  <si>
    <t>A05857-E - SELETOR OPTIMA+</t>
  </si>
  <si>
    <t>Edfifício Juarez Machado</t>
  </si>
  <si>
    <t>Irmãos Madalosso</t>
  </si>
  <si>
    <t>ESQUADRIA ANTIPÂNICO A45-S4 - MÓVEL</t>
  </si>
  <si>
    <t>ESQUADRIA ANTIPÂNICO A45-S4 - FIXA</t>
  </si>
  <si>
    <t>PERFIL ALUMINIO DINTEL SUPERIOR VISIO</t>
  </si>
  <si>
    <t>PERFIL ALUMINIO DINTEL INFERIOR VISIO</t>
  </si>
  <si>
    <t>ESQUADRIA E20 - MÓVEL</t>
  </si>
  <si>
    <t>ESQUADRIA E20 - FIXA</t>
  </si>
  <si>
    <t>KIT TELESCÓPICO CENTRAL</t>
  </si>
  <si>
    <t>F2W Locações</t>
  </si>
  <si>
    <t>(Par)</t>
  </si>
  <si>
    <t>Renault do Brasil</t>
  </si>
  <si>
    <t>SENSOR DE BARREIRA - RETRO REFLEXIVO</t>
  </si>
  <si>
    <t>INTERFACE RELÉ 24 VCC</t>
  </si>
  <si>
    <t>Cooperativa Agraria</t>
  </si>
  <si>
    <t>João Vitor Lemos</t>
  </si>
  <si>
    <t>CONTROLE DE ACESSO FACIAL</t>
  </si>
  <si>
    <t>8.00</t>
  </si>
  <si>
    <t>Potencial Agro</t>
  </si>
  <si>
    <t>Fonocenter Batel</t>
  </si>
  <si>
    <t>Lavitta Engenharia</t>
  </si>
  <si>
    <t>VIDRO LAMINADO - SILVER 20/8MM</t>
  </si>
  <si>
    <t>Studio Ceia Neris</t>
  </si>
  <si>
    <t>OPERADOR LATERAL ACTIVA</t>
  </si>
  <si>
    <t>Eletro Reymaster</t>
  </si>
  <si>
    <t>Medlabs Laboratório</t>
  </si>
  <si>
    <t>CS Ospitalita</t>
  </si>
  <si>
    <t>Engemon Comércio</t>
  </si>
  <si>
    <t>Edifício Menpihs Tower</t>
  </si>
  <si>
    <t>CORREIA DE TRAÇÃO 14MM - BRAVO / VISIO+ 125</t>
  </si>
  <si>
    <t>Shopping Palladium</t>
  </si>
  <si>
    <t>PIVÔ GUIA DE PISO ANTIPÂNICO A45-S2 / S4 - MÓVEL</t>
  </si>
  <si>
    <t>Joselito Smokanytz</t>
  </si>
  <si>
    <t>Python - Price List</t>
  </si>
  <si>
    <t>Python - Calculo Esquadrias</t>
  </si>
  <si>
    <t>Python - Custo Serviço</t>
  </si>
  <si>
    <t>Python - Service Tickets</t>
  </si>
  <si>
    <t>Parth Administração</t>
  </si>
  <si>
    <t>OS #1773</t>
  </si>
  <si>
    <t>OS #1774</t>
  </si>
  <si>
    <t>5.00</t>
  </si>
  <si>
    <t>V. UNIT</t>
  </si>
  <si>
    <t>Orçamento - Multi Turbo</t>
  </si>
  <si>
    <t>Aprovação - Renault</t>
  </si>
  <si>
    <t>OS #1757</t>
  </si>
  <si>
    <t>41069022202797390000106000000000000626047957214659</t>
  </si>
  <si>
    <t>OS #1779</t>
  </si>
  <si>
    <t>Orçamento - HNSG</t>
  </si>
  <si>
    <t>OS #1781</t>
  </si>
  <si>
    <t>OS #1782</t>
  </si>
  <si>
    <t>41260413929397000142550010000055091105202608</t>
  </si>
  <si>
    <t>Orçamento - Sig</t>
  </si>
  <si>
    <t>Emitir Notas - Sig</t>
  </si>
  <si>
    <t>OS #1785</t>
  </si>
  <si>
    <t>41260413929397000142550010000055101105202609</t>
  </si>
  <si>
    <t>41069022213929397000142000000000015326045528826647</t>
  </si>
  <si>
    <t>Emitir Notas - Porto Feliz</t>
  </si>
  <si>
    <t>Emitir Notas - Queen Victoria</t>
  </si>
  <si>
    <t>OS #1091</t>
  </si>
  <si>
    <t>OS #1064</t>
  </si>
  <si>
    <t>Porto Feliz Empreendimentos e Construções Ltda</t>
  </si>
  <si>
    <t>41260413929397000142550010000055111105202606</t>
  </si>
  <si>
    <t>41069022213929397000142000000000015426046855759340</t>
  </si>
  <si>
    <t>41260413929397000142550010000055121105202603</t>
  </si>
  <si>
    <t>41069022213929397000142000000000015526046005750624</t>
  </si>
  <si>
    <t>41260413929397000142550010000055131105202600</t>
  </si>
  <si>
    <t>41069022213929397000142000000000015626046813496853</t>
  </si>
  <si>
    <t>41260413929397000142550010000055141105202608</t>
  </si>
  <si>
    <t>41069022213929397000142000000000015726047581198508</t>
  </si>
  <si>
    <t>41260413929397000142550010000055151106202609</t>
  </si>
  <si>
    <t>41069022213929397000142000000000015826041758722440</t>
  </si>
  <si>
    <t>41069022213929397000142000000000015926040655012143</t>
  </si>
  <si>
    <t>41260413929397000142550010000055161106202606</t>
  </si>
  <si>
    <t>Orçamento - MC Bellei</t>
  </si>
  <si>
    <t>Orçamento - Casa Branca</t>
  </si>
  <si>
    <t>Orçamento - ABI</t>
  </si>
  <si>
    <t>OS #1789</t>
  </si>
  <si>
    <t>OS #1791</t>
  </si>
  <si>
    <t>Orçamento - Stock</t>
  </si>
  <si>
    <t>Orçamento - Queen Victoria</t>
  </si>
  <si>
    <t>OS #1792</t>
  </si>
  <si>
    <t>OS #1131</t>
  </si>
  <si>
    <t>Emitir Notas - Jockey</t>
  </si>
  <si>
    <t>OS #1738</t>
  </si>
  <si>
    <t>ANDAR 01 COND NEW ZEALAND EMPRESAR</t>
  </si>
  <si>
    <t>OS #1794-1795</t>
  </si>
  <si>
    <t>OS #1744</t>
  </si>
  <si>
    <t>OS #1468</t>
  </si>
  <si>
    <t>OS #1469</t>
  </si>
  <si>
    <t>OS #1470</t>
  </si>
  <si>
    <t>OS #1471</t>
  </si>
  <si>
    <t>OS #1472</t>
  </si>
  <si>
    <t>OS #1473</t>
  </si>
  <si>
    <t>OS #1474</t>
  </si>
  <si>
    <t>OS #1475</t>
  </si>
  <si>
    <t>OS #1476</t>
  </si>
  <si>
    <t>41260413929397000142550010000055171106202603</t>
  </si>
  <si>
    <t>Dora Empreendimentos Imobiliários S/A</t>
  </si>
  <si>
    <t>41260413929397000142550010000055181106202600</t>
  </si>
  <si>
    <t>41069022213929397000142000000000016026040143616198</t>
  </si>
  <si>
    <t>41260413929397000142550010000055191106202608</t>
  </si>
  <si>
    <t>41069022213929397000142000000000016126047574750714</t>
  </si>
  <si>
    <t>41260413929397000142550010000055201106202609</t>
  </si>
  <si>
    <t>41069022213929397000142000000000016226044099289344</t>
  </si>
  <si>
    <t>41260413929397000142550010000055211106202606</t>
  </si>
  <si>
    <t>41069022213929397000142000000000016326041244192945</t>
  </si>
  <si>
    <t>41069022213929397000142000000000016426044025654577</t>
  </si>
  <si>
    <t>41260413929397000142550010000055221106202603</t>
  </si>
  <si>
    <t>41260413929397000142550010000055231106202600</t>
  </si>
  <si>
    <t>41069022213929397000142000000000016526043700593173</t>
  </si>
  <si>
    <t>41260413929397000142550010000055241106202608</t>
  </si>
  <si>
    <t>41069022213929397000142000000000016626047131153847</t>
  </si>
  <si>
    <t>41069022213929397000142000000000016726043592821155</t>
  </si>
  <si>
    <t>41260413929397000142550010000055251106202605</t>
  </si>
  <si>
    <t>41069022213929397000142000000000016826048645898011</t>
  </si>
  <si>
    <t>41260413929397000142550010000055261106202602</t>
  </si>
  <si>
    <t>41069022213929397000142000000000016926044055496773</t>
  </si>
  <si>
    <t>41069022213929397000142000000000017026044512856408</t>
  </si>
  <si>
    <t>41260413929397000142550010000055271106202600</t>
  </si>
  <si>
    <t>WAITING</t>
  </si>
  <si>
    <t>OS #1770</t>
  </si>
  <si>
    <t>Emitir Notas - Menphis Tower</t>
  </si>
  <si>
    <t>41260413929397000142550010000055281109202608</t>
  </si>
  <si>
    <t>Aprovação - Netcom</t>
  </si>
  <si>
    <t>OS #1777</t>
  </si>
  <si>
    <t>Emitir Notas - Multi Turbo</t>
  </si>
  <si>
    <t>Emitir Notas - F2W</t>
  </si>
  <si>
    <t>Emitir Notas - CS Ospitalita</t>
  </si>
  <si>
    <t>Emitir Notas - Alltech</t>
  </si>
  <si>
    <t>Orçamento - Shopping Mueller</t>
  </si>
  <si>
    <t>Multi Turbo</t>
  </si>
  <si>
    <t>Vidraçaria Passarela</t>
  </si>
  <si>
    <t>Casa Branca</t>
  </si>
  <si>
    <t>Intecso</t>
  </si>
  <si>
    <t>SENSOR DE MOVIMENTO - MASSA METÁLICA</t>
  </si>
  <si>
    <t>LONA FASTROLL - PORTA AUTOMÁTICA INDUSTRIAL</t>
  </si>
  <si>
    <t>VISOR FASTROLL - PORTA AUTOMÁTICA INDUSTRIAL</t>
  </si>
  <si>
    <t>M C Bellei</t>
  </si>
  <si>
    <t>Horus Informática</t>
  </si>
  <si>
    <t>(pc)</t>
  </si>
  <si>
    <t>PULSADOR REMOTO</t>
  </si>
  <si>
    <t>COMANDO A DISTÂNCIA OPTIMA</t>
  </si>
  <si>
    <t>ABI Administração</t>
  </si>
  <si>
    <t>Farmac</t>
  </si>
  <si>
    <t>Edifício Glaser</t>
  </si>
  <si>
    <t>Condomínio do Edifício Menphis Tower Batel</t>
  </si>
  <si>
    <t>41069022213929397000142000000000017126040339264487</t>
  </si>
  <si>
    <t>41260413929397000142550010000055291111202609</t>
  </si>
  <si>
    <t>Multi Turbo Comércio de Acessórios para Veículos Ltda</t>
  </si>
  <si>
    <t>41069022213929397000142000000000017226045710083320</t>
  </si>
  <si>
    <t>41069022213929397000142000000000017326043505171791</t>
  </si>
  <si>
    <t>CS Ospitalita Administração e Serviços Ltda</t>
  </si>
  <si>
    <t>41069022213929397000142000000000017426047952172204</t>
  </si>
  <si>
    <t>Allthech Manutenção e Vendas Ltda</t>
  </si>
  <si>
    <t>41069022213929397000142000000000017526043064476844</t>
  </si>
  <si>
    <t>41260413929397000142550010000055301111202600</t>
  </si>
  <si>
    <t>41260413929397000142550010000055311111202607</t>
  </si>
  <si>
    <t>OS #1800</t>
  </si>
  <si>
    <t>Termo Garantia - Queen Victoria</t>
  </si>
  <si>
    <t>Termo Garantia - Mondelez</t>
  </si>
  <si>
    <t>Ficha de Serviço - Edfifício Glaser</t>
  </si>
  <si>
    <t>OS #1797</t>
  </si>
  <si>
    <t>Ficha de Serviço - F2W</t>
  </si>
  <si>
    <t>Ficha de Serviço - Queen Victoria</t>
  </si>
  <si>
    <t>Emitir Notas - Araúz Advogados</t>
  </si>
  <si>
    <t>OS #1799</t>
  </si>
  <si>
    <t>41260413929397000142550010000055321112202608</t>
  </si>
  <si>
    <t>Ficha de Serviço - Multi Turbo</t>
  </si>
  <si>
    <t>Emitir Notas - Fullpack</t>
  </si>
  <si>
    <t>OS #1713</t>
  </si>
  <si>
    <t>Fullpack Embalagens Ltda</t>
  </si>
  <si>
    <t>41069022213929397000142000000000017626043242937781</t>
  </si>
  <si>
    <t>41260413929397000142550010000055331112202605</t>
  </si>
  <si>
    <t>Ficha de Serviço - Araúz &amp; Advogados</t>
  </si>
  <si>
    <t>Emitir Notas - Edifíco Glaser</t>
  </si>
  <si>
    <t>OS #1741</t>
  </si>
  <si>
    <t>41069022213929397000142000000000017726049556960487</t>
  </si>
  <si>
    <t>41069022213929397000142000000000017826040695922495</t>
  </si>
  <si>
    <t>41069022213929397000142000000000017926041046278236</t>
  </si>
  <si>
    <t>41260413929397000142550010000055341112202602</t>
  </si>
  <si>
    <t>MONTAGEM/DESMONTAGEM DE OPERADOR/ESQUADRIAS</t>
  </si>
  <si>
    <t>Cassio Vidraçaria</t>
  </si>
  <si>
    <t>3.</t>
  </si>
  <si>
    <t>4.</t>
  </si>
  <si>
    <t>ESQUADRIA LINHA 42 - MÓVEL</t>
  </si>
  <si>
    <t>ESQUADRIA LINHA 42 - FIXA</t>
  </si>
  <si>
    <t>Giben do Brasil</t>
  </si>
  <si>
    <t>A09002-230T-DS-0 - OPERADOR CENTRAL VISIO+ 100</t>
  </si>
  <si>
    <t>A09993-E - TRINCO AUTOMÁTICO VISIO+ 100</t>
  </si>
  <si>
    <t>EDRM05-E - RADAR MANUSA PLANAR</t>
  </si>
  <si>
    <t>A05038 - SENSOR HIBRÍDO DDS-B</t>
  </si>
  <si>
    <t>5.</t>
  </si>
  <si>
    <t>6.</t>
  </si>
  <si>
    <t>ELG0001 - ESQUADRIA LINHA GOLD - MÓVEL</t>
  </si>
  <si>
    <t>7.</t>
  </si>
  <si>
    <t>ELG0002 - ESQUADRIA LINHA GOLD - FIXA</t>
  </si>
  <si>
    <t>8.</t>
  </si>
  <si>
    <t>VL0013 - VIDRO LAMINADO - NEUTRAL 14/8MM</t>
  </si>
  <si>
    <t>VIDRO LAMINADO - NEUTRAL 14/8MM</t>
  </si>
  <si>
    <t>Araúz &amp; Advogados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</si>
</sst>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"/>
    <numFmt numFmtId="165" formatCode="[$-416]mmm\-yy;@"/>
  </numFmts>
  <fonts count="13" x14ac:knownFonts="1">
    <font>
      <sz val="12"/>
      <color theme="1"/>
      <name val="Gill Sans Nova"/>
      <family val="2"/>
    </font>
    <font>
      <sz val="12"/>
      <color theme="1"/>
      <name val="Gill Sans Nova"/>
      <family val="2"/>
    </font>
    <font>
      <b/>
      <sz val="12"/>
      <color theme="1"/>
      <name val="Gill Sans Nova"/>
      <family val="2"/>
    </font>
    <font>
      <sz val="8"/>
      <name val="Gill Sans Nova"/>
      <family val="2"/>
    </font>
    <font>
      <b/>
      <sz val="12"/>
      <color theme="0"/>
      <name val="Gill Sans Nova"/>
      <family val="2"/>
    </font>
    <font>
      <b/>
      <sz val="12"/>
      <color theme="3"/>
      <name val="Gill Sans Nova"/>
      <family val="2"/>
    </font>
    <font>
      <b/>
      <sz val="12"/>
      <color rgb="FFFF0000"/>
      <name val="Gill Sans Nova"/>
      <family val="2"/>
    </font>
    <font>
      <b/>
      <sz val="12"/>
      <color rgb="FFFFFF00"/>
      <name val="Gill Sans Nova"/>
      <family val="2"/>
    </font>
    <font>
      <sz val="12"/>
      <color theme="3"/>
      <name val="Gill Sans Nova"/>
      <family val="2"/>
    </font>
    <font>
      <b/>
      <sz val="12"/>
      <name val="Gill Sans Nova"/>
      <family val="2"/>
    </font>
    <font>
      <b/>
      <sz val="12"/>
      <color theme="4"/>
      <name val="Gill Sans Nova"/>
      <family val="2"/>
    </font>
    <font>
      <sz val="12"/>
      <name val="Gill Sans Nova"/>
      <family val="2"/>
    </font>
    <font>
      <sz val="12"/>
      <color theme="9"/>
      <name val="Gill Sans Nova"/>
      <family val="2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8"/>
        <bgColor theme="8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 style="thin">
        <color indexed="64"/>
      </right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auto="1"/>
      </left>
      <right style="thick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2" fillId="0" borderId="11" xfId="1" applyFont="1" applyBorder="1" applyAlignment="1">
      <alignment horizontal="center"/>
    </xf>
    <xf numFmtId="44" fontId="2" fillId="0" borderId="10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44" fontId="2" fillId="2" borderId="6" xfId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4" fontId="2" fillId="2" borderId="12" xfId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4" fontId="2" fillId="0" borderId="0" xfId="0" applyNumberFormat="1" applyFont="1"/>
    <xf numFmtId="0" fontId="2" fillId="0" borderId="0" xfId="0" applyFont="1" applyAlignment="1">
      <alignment horizontal="left"/>
    </xf>
    <xf numFmtId="44" fontId="2" fillId="0" borderId="0" xfId="1" applyFont="1" applyAlignment="1">
      <alignment horizontal="center"/>
    </xf>
    <xf numFmtId="0" fontId="2" fillId="0" borderId="6" xfId="0" applyFont="1" applyBorder="1" applyAlignment="1">
      <alignment horizontal="center"/>
    </xf>
    <xf numFmtId="44" fontId="2" fillId="0" borderId="13" xfId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9" fontId="0" fillId="0" borderId="0" xfId="0" applyNumberFormat="1"/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6" fillId="0" borderId="23" xfId="0" applyFont="1" applyBorder="1"/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center"/>
    </xf>
    <xf numFmtId="44" fontId="8" fillId="0" borderId="0" xfId="1" applyFont="1" applyAlignment="1">
      <alignment horizontal="center"/>
    </xf>
    <xf numFmtId="0" fontId="8" fillId="0" borderId="8" xfId="0" applyFont="1" applyBorder="1" applyAlignment="1">
      <alignment horizontal="center"/>
    </xf>
    <xf numFmtId="44" fontId="8" fillId="0" borderId="4" xfId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/>
    <xf numFmtId="0" fontId="5" fillId="0" borderId="14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44" fontId="5" fillId="0" borderId="17" xfId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4" fontId="5" fillId="0" borderId="21" xfId="1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44" fontId="5" fillId="0" borderId="18" xfId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44" fontId="5" fillId="0" borderId="24" xfId="1" applyFont="1" applyBorder="1" applyAlignment="1">
      <alignment horizontal="center"/>
    </xf>
    <xf numFmtId="44" fontId="5" fillId="0" borderId="14" xfId="1" applyFont="1" applyBorder="1" applyAlignment="1">
      <alignment horizontal="center"/>
    </xf>
    <xf numFmtId="44" fontId="5" fillId="0" borderId="15" xfId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0" xfId="0" applyFont="1"/>
    <xf numFmtId="0" fontId="2" fillId="0" borderId="23" xfId="0" applyFont="1" applyBorder="1" applyAlignment="1">
      <alignment horizontal="center"/>
    </xf>
    <xf numFmtId="0" fontId="0" fillId="0" borderId="33" xfId="0" applyBorder="1" applyAlignment="1">
      <alignment horizontal="center"/>
    </xf>
    <xf numFmtId="44" fontId="0" fillId="0" borderId="32" xfId="1" applyFont="1" applyBorder="1" applyAlignment="1">
      <alignment horizontal="center"/>
    </xf>
    <xf numFmtId="0" fontId="0" fillId="0" borderId="28" xfId="0" applyBorder="1" applyAlignment="1">
      <alignment horizontal="center"/>
    </xf>
    <xf numFmtId="44" fontId="0" fillId="0" borderId="34" xfId="1" applyFont="1" applyBorder="1" applyAlignment="1">
      <alignment horizontal="center"/>
    </xf>
    <xf numFmtId="0" fontId="0" fillId="0" borderId="29" xfId="0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44" fontId="0" fillId="0" borderId="35" xfId="1" applyFont="1" applyBorder="1" applyAlignment="1">
      <alignment horizontal="center"/>
    </xf>
    <xf numFmtId="0" fontId="0" fillId="0" borderId="38" xfId="0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1" applyNumberFormat="1" applyFont="1" applyBorder="1" applyAlignment="1">
      <alignment horizontal="center"/>
    </xf>
    <xf numFmtId="1" fontId="0" fillId="0" borderId="33" xfId="1" applyNumberFormat="1" applyFont="1" applyBorder="1" applyAlignment="1">
      <alignment horizontal="center"/>
    </xf>
    <xf numFmtId="1" fontId="0" fillId="0" borderId="28" xfId="1" applyNumberFormat="1" applyFont="1" applyBorder="1" applyAlignment="1">
      <alignment horizontal="center"/>
    </xf>
    <xf numFmtId="1" fontId="0" fillId="0" borderId="29" xfId="1" applyNumberFormat="1" applyFon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0" xfId="1" applyNumberFormat="1" applyFont="1" applyBorder="1" applyAlignment="1">
      <alignment horizontal="center"/>
    </xf>
    <xf numFmtId="49" fontId="0" fillId="0" borderId="28" xfId="1" applyNumberFormat="1" applyFont="1" applyBorder="1" applyAlignment="1">
      <alignment horizontal="center"/>
    </xf>
    <xf numFmtId="0" fontId="0" fillId="0" borderId="40" xfId="0" applyBorder="1" applyAlignment="1">
      <alignment horizontal="center"/>
    </xf>
    <xf numFmtId="49" fontId="0" fillId="0" borderId="29" xfId="1" applyNumberFormat="1" applyFont="1" applyBorder="1" applyAlignment="1">
      <alignment horizontal="center"/>
    </xf>
    <xf numFmtId="44" fontId="5" fillId="0" borderId="19" xfId="1" applyFon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1" fontId="0" fillId="0" borderId="12" xfId="1" applyNumberFormat="1" applyFont="1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44" fontId="0" fillId="0" borderId="0" xfId="1" applyFont="1" applyBorder="1" applyAlignment="1">
      <alignment horizontal="center"/>
    </xf>
    <xf numFmtId="0" fontId="0" fillId="0" borderId="14" xfId="0" applyBorder="1"/>
    <xf numFmtId="44" fontId="0" fillId="0" borderId="14" xfId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44" fontId="0" fillId="0" borderId="15" xfId="1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43" xfId="0" applyBorder="1"/>
    <xf numFmtId="0" fontId="0" fillId="0" borderId="16" xfId="0" applyBorder="1" applyAlignment="1">
      <alignment horizontal="center"/>
    </xf>
    <xf numFmtId="44" fontId="0" fillId="0" borderId="28" xfId="1" applyFont="1" applyBorder="1" applyAlignment="1">
      <alignment horizontal="center"/>
    </xf>
    <xf numFmtId="44" fontId="0" fillId="0" borderId="29" xfId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5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44" fontId="0" fillId="0" borderId="24" xfId="1" applyFon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44" fontId="0" fillId="0" borderId="43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1" xfId="0" applyFont="1" applyBorder="1"/>
    <xf numFmtId="44" fontId="2" fillId="0" borderId="30" xfId="1" applyFont="1" applyBorder="1" applyAlignment="1">
      <alignment horizontal="center"/>
    </xf>
    <xf numFmtId="44" fontId="2" fillId="0" borderId="31" xfId="1" applyFont="1" applyBorder="1" applyAlignment="1">
      <alignment horizontal="center"/>
    </xf>
    <xf numFmtId="49" fontId="2" fillId="0" borderId="3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left"/>
    </xf>
    <xf numFmtId="0" fontId="4" fillId="7" borderId="47" xfId="0" applyFont="1" applyFill="1" applyBorder="1" applyAlignment="1">
      <alignment horizontal="center"/>
    </xf>
    <xf numFmtId="44" fontId="4" fillId="7" borderId="46" xfId="1" applyFont="1" applyFill="1" applyBorder="1" applyAlignment="1">
      <alignment horizontal="center"/>
    </xf>
    <xf numFmtId="0" fontId="4" fillId="7" borderId="46" xfId="0" applyFont="1" applyFill="1" applyBorder="1" applyAlignment="1">
      <alignment horizontal="center"/>
    </xf>
    <xf numFmtId="0" fontId="0" fillId="8" borderId="49" xfId="0" applyFill="1" applyBorder="1" applyAlignment="1">
      <alignment horizontal="center"/>
    </xf>
    <xf numFmtId="0" fontId="0" fillId="8" borderId="48" xfId="0" applyFill="1" applyBorder="1" applyAlignment="1">
      <alignment horizontal="center"/>
    </xf>
    <xf numFmtId="44" fontId="0" fillId="8" borderId="50" xfId="1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8" xfId="0" applyBorder="1" applyAlignment="1">
      <alignment horizontal="center"/>
    </xf>
    <xf numFmtId="44" fontId="0" fillId="0" borderId="50" xfId="1" applyFont="1" applyBorder="1" applyAlignment="1">
      <alignment horizontal="center"/>
    </xf>
    <xf numFmtId="0" fontId="8" fillId="8" borderId="49" xfId="0" applyFont="1" applyFill="1" applyBorder="1" applyAlignment="1">
      <alignment horizontal="center"/>
    </xf>
    <xf numFmtId="0" fontId="8" fillId="8" borderId="48" xfId="0" applyFont="1" applyFill="1" applyBorder="1" applyAlignment="1">
      <alignment horizontal="center"/>
    </xf>
    <xf numFmtId="44" fontId="8" fillId="8" borderId="50" xfId="1" applyFont="1" applyFill="1" applyBorder="1" applyAlignment="1">
      <alignment horizontal="center"/>
    </xf>
    <xf numFmtId="0" fontId="0" fillId="2" borderId="32" xfId="0" applyFill="1" applyBorder="1" applyAlignment="1">
      <alignment horizontal="left"/>
    </xf>
    <xf numFmtId="44" fontId="0" fillId="2" borderId="32" xfId="1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2" xfId="1" applyNumberFormat="1" applyFont="1" applyBorder="1" applyAlignment="1">
      <alignment horizontal="center"/>
    </xf>
    <xf numFmtId="0" fontId="0" fillId="0" borderId="53" xfId="1" applyNumberFormat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2" borderId="41" xfId="0" applyFont="1" applyFill="1" applyBorder="1"/>
    <xf numFmtId="44" fontId="2" fillId="2" borderId="30" xfId="1" applyFont="1" applyFill="1" applyBorder="1" applyAlignment="1">
      <alignment horizontal="center"/>
    </xf>
    <xf numFmtId="44" fontId="0" fillId="0" borderId="54" xfId="1" applyFont="1" applyBorder="1" applyAlignment="1">
      <alignment horizontal="center"/>
    </xf>
    <xf numFmtId="44" fontId="0" fillId="0" borderId="18" xfId="1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3" xfId="0" applyBorder="1"/>
    <xf numFmtId="44" fontId="0" fillId="0" borderId="55" xfId="1" applyFont="1" applyBorder="1" applyAlignment="1">
      <alignment horizontal="center"/>
    </xf>
    <xf numFmtId="44" fontId="0" fillId="0" borderId="40" xfId="1" applyFont="1" applyBorder="1" applyAlignment="1">
      <alignment horizontal="center"/>
    </xf>
    <xf numFmtId="44" fontId="0" fillId="0" borderId="38" xfId="1" applyFont="1" applyBorder="1" applyAlignment="1">
      <alignment horizontal="center"/>
    </xf>
    <xf numFmtId="44" fontId="0" fillId="0" borderId="56" xfId="1" applyFont="1" applyBorder="1" applyAlignment="1">
      <alignment horizontal="center"/>
    </xf>
    <xf numFmtId="44" fontId="0" fillId="0" borderId="57" xfId="1" applyFont="1" applyBorder="1" applyAlignment="1">
      <alignment horizontal="center"/>
    </xf>
    <xf numFmtId="0" fontId="0" fillId="0" borderId="0" xfId="1" applyNumberFormat="1" applyFont="1"/>
    <xf numFmtId="44" fontId="0" fillId="0" borderId="17" xfId="1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29" xfId="0" applyBorder="1" applyAlignment="1">
      <alignment horizontal="left"/>
    </xf>
    <xf numFmtId="44" fontId="0" fillId="0" borderId="62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0" borderId="28" xfId="0" applyFont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60" xfId="1" applyNumberFormat="1" applyFon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2" xfId="0" applyBorder="1"/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61" xfId="0" applyBorder="1"/>
    <xf numFmtId="49" fontId="0" fillId="0" borderId="12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center"/>
    </xf>
    <xf numFmtId="44" fontId="0" fillId="0" borderId="0" xfId="1" applyFont="1" applyFill="1" applyBorder="1"/>
    <xf numFmtId="2" fontId="0" fillId="0" borderId="0" xfId="1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1" fillId="0" borderId="42" xfId="0" applyFont="1" applyBorder="1"/>
    <xf numFmtId="0" fontId="1" fillId="0" borderId="44" xfId="0" applyFont="1" applyBorder="1"/>
    <xf numFmtId="0" fontId="1" fillId="0" borderId="16" xfId="0" applyFont="1" applyBorder="1"/>
    <xf numFmtId="0" fontId="1" fillId="0" borderId="21" xfId="0" applyFont="1" applyBorder="1"/>
    <xf numFmtId="0" fontId="1" fillId="0" borderId="65" xfId="0" applyFont="1" applyBorder="1"/>
    <xf numFmtId="0" fontId="1" fillId="0" borderId="66" xfId="0" applyFont="1" applyBorder="1"/>
    <xf numFmtId="0" fontId="10" fillId="2" borderId="31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2" fillId="0" borderId="67" xfId="0" applyFont="1" applyBorder="1" applyAlignment="1">
      <alignment horizontal="center"/>
    </xf>
    <xf numFmtId="164" fontId="4" fillId="3" borderId="33" xfId="0" applyNumberFormat="1" applyFont="1" applyFill="1" applyBorder="1" applyAlignment="1">
      <alignment horizontal="center"/>
    </xf>
    <xf numFmtId="164" fontId="9" fillId="9" borderId="33" xfId="0" applyNumberFormat="1" applyFont="1" applyFill="1" applyBorder="1" applyAlignment="1">
      <alignment horizontal="center"/>
    </xf>
    <xf numFmtId="0" fontId="2" fillId="0" borderId="68" xfId="0" applyFont="1" applyBorder="1" applyAlignment="1">
      <alignment horizontal="center"/>
    </xf>
    <xf numFmtId="164" fontId="4" fillId="3" borderId="69" xfId="0" applyNumberFormat="1" applyFont="1" applyFill="1" applyBorder="1" applyAlignment="1">
      <alignment horizontal="center"/>
    </xf>
    <xf numFmtId="164" fontId="9" fillId="9" borderId="69" xfId="0" applyNumberFormat="1" applyFont="1" applyFill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9" fillId="9" borderId="70" xfId="0" applyFont="1" applyFill="1" applyBorder="1" applyAlignment="1">
      <alignment horizontal="center"/>
    </xf>
    <xf numFmtId="164" fontId="9" fillId="9" borderId="28" xfId="0" applyNumberFormat="1" applyFont="1" applyFill="1" applyBorder="1" applyAlignment="1">
      <alignment horizontal="center"/>
    </xf>
    <xf numFmtId="44" fontId="9" fillId="9" borderId="28" xfId="1" applyFont="1" applyFill="1" applyBorder="1" applyAlignment="1">
      <alignment horizontal="center"/>
    </xf>
    <xf numFmtId="44" fontId="9" fillId="9" borderId="28" xfId="0" applyNumberFormat="1" applyFont="1" applyFill="1" applyBorder="1" applyAlignment="1">
      <alignment horizontal="center"/>
    </xf>
    <xf numFmtId="2" fontId="9" fillId="9" borderId="69" xfId="0" applyNumberFormat="1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44" fontId="9" fillId="9" borderId="27" xfId="0" applyNumberFormat="1" applyFont="1" applyFill="1" applyBorder="1"/>
    <xf numFmtId="44" fontId="4" fillId="3" borderId="27" xfId="1" applyFont="1" applyFill="1" applyBorder="1"/>
    <xf numFmtId="0" fontId="10" fillId="2" borderId="27" xfId="0" applyFont="1" applyFill="1" applyBorder="1" applyAlignment="1">
      <alignment horizontal="center"/>
    </xf>
    <xf numFmtId="1" fontId="9" fillId="9" borderId="70" xfId="0" applyNumberFormat="1" applyFont="1" applyFill="1" applyBorder="1" applyAlignment="1">
      <alignment horizontal="center"/>
    </xf>
    <xf numFmtId="44" fontId="9" fillId="9" borderId="27" xfId="0" applyNumberFormat="1" applyFont="1" applyFill="1" applyBorder="1" applyAlignment="1">
      <alignment horizontal="center"/>
    </xf>
    <xf numFmtId="0" fontId="10" fillId="2" borderId="3" xfId="0" applyFont="1" applyFill="1" applyBorder="1"/>
    <xf numFmtId="0" fontId="10" fillId="2" borderId="27" xfId="0" applyFont="1" applyFill="1" applyBorder="1"/>
    <xf numFmtId="0" fontId="0" fillId="0" borderId="28" xfId="0" applyBorder="1" applyAlignment="1">
      <alignment horizontal="left"/>
    </xf>
    <xf numFmtId="44" fontId="0" fillId="0" borderId="71" xfId="1" applyFont="1" applyBorder="1" applyAlignment="1">
      <alignment horizontal="center"/>
    </xf>
    <xf numFmtId="44" fontId="0" fillId="0" borderId="37" xfId="1" applyFont="1" applyBorder="1" applyAlignment="1">
      <alignment horizontal="center"/>
    </xf>
    <xf numFmtId="0" fontId="0" fillId="0" borderId="33" xfId="0" applyBorder="1"/>
    <xf numFmtId="0" fontId="0" fillId="0" borderId="29" xfId="0" applyBorder="1"/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14" fontId="10" fillId="2" borderId="10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1" fontId="2" fillId="0" borderId="40" xfId="0" applyNumberFormat="1" applyFont="1" applyBorder="1" applyAlignment="1">
      <alignment horizontal="center"/>
    </xf>
    <xf numFmtId="1" fontId="2" fillId="0" borderId="38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2" borderId="33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" fontId="2" fillId="0" borderId="67" xfId="0" applyNumberFormat="1" applyFont="1" applyBorder="1" applyAlignment="1">
      <alignment horizontal="center"/>
    </xf>
    <xf numFmtId="44" fontId="0" fillId="0" borderId="73" xfId="1" applyFont="1" applyBorder="1" applyAlignment="1">
      <alignment horizontal="center"/>
    </xf>
    <xf numFmtId="44" fontId="0" fillId="0" borderId="39" xfId="1" applyFont="1" applyBorder="1" applyAlignment="1">
      <alignment horizontal="center"/>
    </xf>
    <xf numFmtId="44" fontId="0" fillId="0" borderId="36" xfId="1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44" fontId="0" fillId="0" borderId="33" xfId="1" applyFont="1" applyBorder="1" applyAlignment="1">
      <alignment horizontal="center"/>
    </xf>
    <xf numFmtId="44" fontId="0" fillId="0" borderId="70" xfId="1" applyFont="1" applyBorder="1" applyAlignment="1">
      <alignment horizontal="center"/>
    </xf>
    <xf numFmtId="44" fontId="2" fillId="0" borderId="27" xfId="1" applyFont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74" xfId="0" applyBorder="1" applyAlignment="1">
      <alignment horizontal="center"/>
    </xf>
    <xf numFmtId="44" fontId="0" fillId="0" borderId="75" xfId="1" applyFont="1" applyBorder="1" applyAlignment="1">
      <alignment horizontal="center"/>
    </xf>
    <xf numFmtId="44" fontId="0" fillId="0" borderId="76" xfId="1" applyFont="1" applyBorder="1" applyAlignment="1">
      <alignment horizontal="center"/>
    </xf>
    <xf numFmtId="44" fontId="0" fillId="0" borderId="77" xfId="1" applyFont="1" applyBorder="1" applyAlignment="1">
      <alignment horizontal="center"/>
    </xf>
    <xf numFmtId="44" fontId="9" fillId="9" borderId="27" xfId="1" applyFont="1" applyFill="1" applyBorder="1"/>
    <xf numFmtId="1" fontId="4" fillId="3" borderId="27" xfId="0" applyNumberFormat="1" applyFont="1" applyFill="1" applyBorder="1" applyAlignment="1">
      <alignment horizontal="center"/>
    </xf>
    <xf numFmtId="0" fontId="9" fillId="9" borderId="27" xfId="0" applyFont="1" applyFill="1" applyBorder="1" applyAlignment="1">
      <alignment horizontal="center"/>
    </xf>
    <xf numFmtId="0" fontId="0" fillId="0" borderId="64" xfId="0" applyBorder="1" applyAlignment="1">
      <alignment horizontal="center"/>
    </xf>
    <xf numFmtId="44" fontId="0" fillId="0" borderId="23" xfId="1" applyFont="1" applyBorder="1" applyAlignment="1">
      <alignment horizontal="center"/>
    </xf>
    <xf numFmtId="44" fontId="0" fillId="0" borderId="19" xfId="1" applyFont="1" applyBorder="1" applyAlignment="1">
      <alignment horizontal="center"/>
    </xf>
    <xf numFmtId="0" fontId="11" fillId="9" borderId="27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1" fontId="4" fillId="3" borderId="70" xfId="0" applyNumberFormat="1" applyFont="1" applyFill="1" applyBorder="1" applyAlignment="1">
      <alignment horizontal="center"/>
    </xf>
    <xf numFmtId="44" fontId="0" fillId="0" borderId="78" xfId="1" applyFont="1" applyBorder="1" applyAlignment="1">
      <alignment horizontal="center"/>
    </xf>
    <xf numFmtId="0" fontId="0" fillId="0" borderId="41" xfId="0" applyBorder="1"/>
    <xf numFmtId="0" fontId="2" fillId="0" borderId="72" xfId="0" applyFont="1" applyBorder="1" applyAlignment="1">
      <alignment horizontal="left" vertical="center"/>
    </xf>
    <xf numFmtId="165" fontId="2" fillId="0" borderId="72" xfId="0" applyNumberFormat="1" applyFont="1" applyBorder="1" applyAlignment="1">
      <alignment horizontal="center" vertical="center"/>
    </xf>
    <xf numFmtId="165" fontId="2" fillId="0" borderId="72" xfId="1" applyNumberFormat="1" applyFont="1" applyBorder="1" applyAlignment="1">
      <alignment horizontal="center" vertical="center"/>
    </xf>
    <xf numFmtId="0" fontId="2" fillId="0" borderId="11" xfId="1" applyNumberFormat="1" applyFont="1" applyBorder="1" applyAlignment="1">
      <alignment horizontal="center" vertical="center"/>
    </xf>
    <xf numFmtId="44" fontId="0" fillId="0" borderId="0" xfId="1" applyFont="1" applyBorder="1"/>
    <xf numFmtId="44" fontId="0" fillId="0" borderId="41" xfId="1" applyFont="1" applyBorder="1"/>
    <xf numFmtId="44" fontId="0" fillId="0" borderId="5" xfId="1" applyFont="1" applyBorder="1"/>
    <xf numFmtId="44" fontId="0" fillId="0" borderId="6" xfId="1" applyFont="1" applyBorder="1"/>
    <xf numFmtId="44" fontId="0" fillId="0" borderId="30" xfId="1" applyFont="1" applyBorder="1"/>
    <xf numFmtId="44" fontId="0" fillId="0" borderId="13" xfId="1" applyFont="1" applyBorder="1"/>
    <xf numFmtId="44" fontId="0" fillId="0" borderId="9" xfId="1" applyFont="1" applyBorder="1"/>
    <xf numFmtId="0" fontId="0" fillId="0" borderId="31" xfId="0" applyBorder="1"/>
    <xf numFmtId="0" fontId="0" fillId="0" borderId="12" xfId="0" applyBorder="1"/>
    <xf numFmtId="0" fontId="0" fillId="0" borderId="10" xfId="0" applyBorder="1"/>
    <xf numFmtId="44" fontId="2" fillId="0" borderId="27" xfId="0" applyNumberFormat="1" applyFont="1" applyBorder="1"/>
    <xf numFmtId="44" fontId="2" fillId="0" borderId="5" xfId="0" applyNumberFormat="1" applyFont="1" applyBorder="1"/>
    <xf numFmtId="44" fontId="2" fillId="0" borderId="6" xfId="0" applyNumberFormat="1" applyFont="1" applyBorder="1"/>
    <xf numFmtId="165" fontId="2" fillId="0" borderId="11" xfId="0" applyNumberFormat="1" applyFont="1" applyBorder="1" applyAlignment="1">
      <alignment horizontal="center" vertical="center"/>
    </xf>
    <xf numFmtId="44" fontId="12" fillId="0" borderId="0" xfId="1" applyFont="1" applyBorder="1"/>
    <xf numFmtId="44" fontId="0" fillId="0" borderId="31" xfId="0" applyNumberFormat="1" applyBorder="1"/>
    <xf numFmtId="44" fontId="0" fillId="0" borderId="12" xfId="0" applyNumberFormat="1" applyBorder="1"/>
    <xf numFmtId="0" fontId="4" fillId="3" borderId="12" xfId="0" applyFont="1" applyFill="1" applyBorder="1"/>
    <xf numFmtId="0" fontId="10" fillId="2" borderId="1" xfId="0" applyFont="1" applyFill="1" applyBorder="1"/>
    <xf numFmtId="0" fontId="2" fillId="0" borderId="33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10" fontId="4" fillId="3" borderId="10" xfId="3" applyNumberFormat="1" applyFont="1" applyFill="1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44" fontId="0" fillId="0" borderId="31" xfId="1" applyFont="1" applyBorder="1"/>
    <xf numFmtId="44" fontId="0" fillId="0" borderId="12" xfId="1" applyFont="1" applyBorder="1"/>
    <xf numFmtId="44" fontId="0" fillId="0" borderId="10" xfId="1" applyFont="1" applyBorder="1"/>
    <xf numFmtId="44" fontId="9" fillId="9" borderId="27" xfId="1" applyFont="1" applyFill="1" applyBorder="1" applyAlignment="1">
      <alignment horizontal="center"/>
    </xf>
    <xf numFmtId="0" fontId="1" fillId="0" borderId="79" xfId="0" applyFont="1" applyBorder="1"/>
    <xf numFmtId="0" fontId="1" fillId="0" borderId="80" xfId="0" applyFont="1" applyBorder="1"/>
    <xf numFmtId="0" fontId="9" fillId="9" borderId="10" xfId="0" applyFont="1" applyFill="1" applyBorder="1"/>
    <xf numFmtId="0" fontId="11" fillId="0" borderId="0" xfId="0" applyFont="1"/>
    <xf numFmtId="44" fontId="9" fillId="9" borderId="10" xfId="0" applyNumberFormat="1" applyFont="1" applyFill="1" applyBorder="1"/>
    <xf numFmtId="44" fontId="9" fillId="9" borderId="31" xfId="0" applyNumberFormat="1" applyFont="1" applyFill="1" applyBorder="1"/>
    <xf numFmtId="0" fontId="4" fillId="3" borderId="10" xfId="0" applyFont="1" applyFill="1" applyBorder="1" applyAlignment="1">
      <alignment horizontal="center"/>
    </xf>
    <xf numFmtId="44" fontId="4" fillId="3" borderId="10" xfId="1" applyFont="1" applyFill="1" applyBorder="1" applyAlignment="1">
      <alignment horizontal="center"/>
    </xf>
    <xf numFmtId="1" fontId="4" fillId="3" borderId="33" xfId="0" applyNumberFormat="1" applyFont="1" applyFill="1" applyBorder="1" applyAlignment="1">
      <alignment horizontal="center"/>
    </xf>
    <xf numFmtId="9" fontId="4" fillId="3" borderId="27" xfId="3" applyFont="1" applyFill="1" applyBorder="1" applyAlignment="1">
      <alignment horizontal="center"/>
    </xf>
    <xf numFmtId="44" fontId="6" fillId="9" borderId="28" xfId="0" applyNumberFormat="1" applyFont="1" applyFill="1" applyBorder="1" applyAlignment="1">
      <alignment horizontal="center"/>
    </xf>
    <xf numFmtId="44" fontId="0" fillId="0" borderId="0" xfId="1" applyFont="1"/>
    <xf numFmtId="2" fontId="2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44" fontId="2" fillId="0" borderId="0" xfId="1" applyFont="1"/>
    <xf numFmtId="44" fontId="1" fillId="0" borderId="0" xfId="1" applyFont="1" applyAlignment="1">
      <alignment horizontal="center"/>
    </xf>
    <xf numFmtId="0" fontId="10" fillId="2" borderId="71" xfId="0" applyFont="1" applyFill="1" applyBorder="1" applyAlignment="1">
      <alignment horizontal="center"/>
    </xf>
    <xf numFmtId="0" fontId="0" fillId="0" borderId="82" xfId="0" applyBorder="1" applyAlignment="1">
      <alignment horizontal="center"/>
    </xf>
    <xf numFmtId="44" fontId="4" fillId="10" borderId="81" xfId="1" applyFont="1" applyFill="1" applyBorder="1" applyAlignment="1">
      <alignment horizontal="center"/>
    </xf>
    <xf numFmtId="2" fontId="4" fillId="10" borderId="81" xfId="1" applyNumberFormat="1" applyFont="1" applyFill="1" applyBorder="1" applyAlignment="1">
      <alignment horizontal="center"/>
    </xf>
    <xf numFmtId="1" fontId="4" fillId="10" borderId="81" xfId="0" applyNumberFormat="1" applyFont="1" applyFill="1" applyBorder="1" applyAlignment="1">
      <alignment horizontal="center"/>
    </xf>
    <xf numFmtId="44" fontId="2" fillId="0" borderId="2" xfId="1" applyFont="1" applyBorder="1" applyAlignment="1">
      <alignment horizontal="center"/>
    </xf>
    <xf numFmtId="0" fontId="4" fillId="10" borderId="81" xfId="0" applyFont="1" applyFill="1" applyBorder="1" applyAlignment="1">
      <alignment horizontal="center"/>
    </xf>
    <xf numFmtId="0" fontId="0" fillId="0" borderId="63" xfId="1" applyNumberFormat="1" applyFont="1" applyBorder="1" applyAlignment="1">
      <alignment horizontal="center"/>
    </xf>
    <xf numFmtId="0" fontId="0" fillId="0" borderId="37" xfId="0" applyBorder="1"/>
    <xf numFmtId="44" fontId="0" fillId="0" borderId="0" xfId="0" applyNumberFormat="1"/>
    <xf numFmtId="44" fontId="0" fillId="0" borderId="21" xfId="1" applyFont="1" applyBorder="1" applyAlignment="1">
      <alignment horizontal="center"/>
    </xf>
    <xf numFmtId="44" fontId="0" fillId="0" borderId="16" xfId="1" applyFont="1" applyBorder="1" applyAlignment="1">
      <alignment horizontal="center"/>
    </xf>
    <xf numFmtId="44" fontId="0" fillId="0" borderId="8" xfId="1" applyFont="1" applyBorder="1" applyAlignment="1">
      <alignment horizontal="center"/>
    </xf>
    <xf numFmtId="0" fontId="2" fillId="0" borderId="72" xfId="0" applyFont="1" applyBorder="1"/>
    <xf numFmtId="0" fontId="2" fillId="0" borderId="72" xfId="0" applyFont="1" applyBorder="1" applyAlignment="1">
      <alignment horizontal="center"/>
    </xf>
    <xf numFmtId="44" fontId="2" fillId="0" borderId="72" xfId="1" applyFont="1" applyBorder="1" applyAlignment="1">
      <alignment horizontal="center"/>
    </xf>
    <xf numFmtId="1" fontId="0" fillId="0" borderId="0" xfId="1" applyNumberFormat="1" applyFont="1" applyAlignment="1">
      <alignment horizontal="center"/>
    </xf>
    <xf numFmtId="8" fontId="0" fillId="0" borderId="0" xfId="1" applyNumberFormat="1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49" fontId="2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44" fontId="0" fillId="0" borderId="35" xfId="1" applyNumberFormat="1" applyFont="1" applyBorder="1" applyAlignment="1">
      <alignment horizontal="center"/>
    </xf>
    <xf numFmtId="44" fontId="0" fillId="0" borderId="19" xfId="1" applyNumberFormat="1" applyFont="1" applyBorder="1" applyAlignment="1">
      <alignment horizontal="center"/>
    </xf>
    <xf numFmtId="44" fontId="0" fillId="0" borderId="29" xfId="1" applyNumberFormat="1" applyFont="1" applyBorder="1" applyAlignment="1">
      <alignment horizontal="center"/>
    </xf>
    <xf numFmtId="44" fontId="0" fillId="0" borderId="24" xfId="1" applyNumberFormat="1" applyFont="1" applyBorder="1" applyAlignment="1">
      <alignment horizontal="center"/>
    </xf>
    <xf numFmtId="8" fontId="0" fillId="0" borderId="0" xfId="1" applyNumberFormat="1" applyFont="1"/>
  </cellXfs>
  <cellStyles count="4">
    <cellStyle name="Currency" xfId="1" builtinId="4"/>
    <cellStyle name="Currency 2" xfId="2" xr:uid="{0B69CC69-F110-4179-B3EF-75DCD0809138}"/>
    <cellStyle name="Normal" xfId="0" builtinId="0"/>
    <cellStyle name="Percent" xfId="3" builtinId="5"/>
  </cellStyles>
  <dxfs count="165"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3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numFmt numFmtId="30" formatCode="@"/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 style="thin">
          <color indexed="64"/>
        </vertical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 style="thin">
          <color indexed="64"/>
        </vertical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right/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thick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</border>
    </dxf>
    <dxf>
      <font>
        <b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family val="2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Gill Sans Nova"/>
        <family val="2"/>
        <scheme val="none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right/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</border>
    </dxf>
    <dxf>
      <font>
        <b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CEB32D-2C55-4B3F-AEB7-8C8102085CE3}" name="To_Do" displayName="To_Do" ref="A1:D468" totalsRowShown="0" headerRowDxfId="151" headerRowBorderDxfId="150" tableBorderDxfId="149">
  <autoFilter ref="A1:D468" xr:uid="{D1CEB32D-2C55-4B3F-AEB7-8C8102085CE3}">
    <filterColumn colId="3">
      <filters>
        <filter val="PENDING"/>
        <filter val="PROJECT"/>
        <filter val="WAITING"/>
      </filters>
    </filterColumn>
  </autoFilter>
  <sortState xmlns:xlrd2="http://schemas.microsoft.com/office/spreadsheetml/2017/richdata2" ref="A459:D468">
    <sortCondition ref="D1:D468"/>
  </sortState>
  <tableColumns count="4">
    <tableColumn id="1" xr3:uid="{B74149A1-EE2B-41B2-94EA-22301823AF4F}" name="DATE" dataDxfId="148"/>
    <tableColumn id="2" xr3:uid="{03C4FEC7-A228-45FC-BFF6-1BBA4D3D15CF}" name="TASK"/>
    <tableColumn id="3" xr3:uid="{90ADD65A-5395-43EF-9BA1-6B760B3A62F5}" name="OBS"/>
    <tableColumn id="4" xr3:uid="{5D19C5FD-CDA8-4B13-92AC-0F3E022F3D5E}" name="STATUS" dataDxfId="147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8A1EF-F11C-4939-83C5-BC84C4D1A887}" name="Table1" displayName="Table1" ref="A2:M133" totalsRowShown="0" headerRowDxfId="146" dataDxfId="144" headerRowBorderDxfId="145" tableBorderDxfId="143">
  <autoFilter ref="A2:M133" xr:uid="{6798A1EF-F11C-4939-83C5-BC84C4D1A887}"/>
  <sortState xmlns:xlrd2="http://schemas.microsoft.com/office/spreadsheetml/2017/richdata2" ref="A3:M133">
    <sortCondition ref="G2:G133"/>
  </sortState>
  <tableColumns count="13">
    <tableColumn id="2" xr3:uid="{5BDDA8C0-8798-4EAB-A7E1-41A54CAFA9C2}" name="OS" dataDxfId="142"/>
    <tableColumn id="1" xr3:uid="{E62A3A58-22A8-4AE4-95F9-861F15E1E3BC}" name="CLIENTE" dataDxfId="141"/>
    <tableColumn id="3" xr3:uid="{8DF5B531-769D-48E1-AF84-70BE5F506DFD}" name="TOTAL" dataDxfId="140" dataCellStyle="Currency"/>
    <tableColumn id="4" xr3:uid="{67AE5822-D48E-4072-BF14-38652E7AF81D}" name="NF-e" dataDxfId="139"/>
    <tableColumn id="5" xr3:uid="{2E779709-2EAF-4F1A-B539-A74A7684B2B8}" name="VALOR" dataDxfId="138" dataCellStyle="Currency"/>
    <tableColumn id="13" xr3:uid="{4ADACB9C-08E1-44E8-BF7A-72E47714C3CF}" name="Status P" dataDxfId="137" dataCellStyle="Currency"/>
    <tableColumn id="6" xr3:uid="{6766E929-A48B-4814-A3CF-49511F5A1FE2}" name="NFS-e" dataDxfId="136"/>
    <tableColumn id="12" xr3:uid="{CC0CEDED-35A7-4CE3-B2E1-5C137C02A7B4}" name="DPS" dataDxfId="135"/>
    <tableColumn id="7" xr3:uid="{A29D9855-4DA8-4BD1-B451-01E28E1358C0}" name="VALOR SERVIÇO" dataDxfId="134" dataCellStyle="Currency"/>
    <tableColumn id="9" xr3:uid="{9CF328CC-AE8C-4529-A183-517B295D5B16}" name="Status S" dataDxfId="133"/>
    <tableColumn id="11" xr3:uid="{3CC37D53-A0E7-49D3-A7CE-6B71AA5B5586}" name="OK" dataDxfId="132"/>
    <tableColumn id="8" xr3:uid="{25F2862A-69E3-4671-BA1B-DEE3FFBD6C22}" name="REF" dataDxfId="131"/>
    <tableColumn id="15" xr3:uid="{D6E91E43-8629-43C9-AF42-850AD689460C}" name="OBSERVAÇÕES" dataDxfId="13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5816D4-02F9-4D79-BCDA-17A3E7394198}" name="NFe_NC" displayName="NFe_NC" ref="A1:M240" totalsRowShown="0">
  <autoFilter ref="A1:M240" xr:uid="{485816D4-02F9-4D79-BCDA-17A3E7394198}"/>
  <sortState xmlns:xlrd2="http://schemas.microsoft.com/office/spreadsheetml/2017/richdata2" ref="A2:M218">
    <sortCondition ref="D1:D218"/>
  </sortState>
  <tableColumns count="13">
    <tableColumn id="2" xr3:uid="{0DF4DA7D-3790-47A9-B254-0577763893BD}" name="OS" dataDxfId="164"/>
    <tableColumn id="1" xr3:uid="{ECD9A0E2-1374-4DF5-BD44-0EDCB73CA504}" name="CLIENTE" dataDxfId="163"/>
    <tableColumn id="3" xr3:uid="{07891433-3081-46E3-A57C-0E29FFD5486A}" name="TOTAL OS" dataDxfId="162" dataCellStyle="Currency"/>
    <tableColumn id="4" xr3:uid="{0FDCEBC8-03AF-42FA-80BD-E4E48C1D44AF}" name="NF-e" dataDxfId="161"/>
    <tableColumn id="5" xr3:uid="{1987D8AD-CA50-4F8D-9D85-61E6EC646F00}" name="VALOR NF-e" dataDxfId="160" dataCellStyle="Currency"/>
    <tableColumn id="10" xr3:uid="{030E0898-937F-4CCE-B01D-62F98F187C9A}" name="CFOP" dataDxfId="159" dataCellStyle="Currency"/>
    <tableColumn id="11" xr3:uid="{4525B946-5393-43BC-97F9-0348E2325AAD}" name="NATUREZA" dataDxfId="158" dataCellStyle="Currency">
      <calculatedColumnFormula>VLOOKUP(F2,CFOP[],2,FALSE)</calculatedColumnFormula>
    </tableColumn>
    <tableColumn id="13" xr3:uid="{428A7124-14E2-4900-9F57-2064BED0D99A}" name="CHAVE" dataDxfId="157"/>
    <tableColumn id="12" xr3:uid="{A074FBDE-3CA4-4118-BD34-169FEBDB83C3}" name="EMISSÃO" dataDxfId="156"/>
    <tableColumn id="6" xr3:uid="{96C83935-F64A-48C6-947D-BC2AF5F8EFD0}" name="STATUS" dataDxfId="155"/>
    <tableColumn id="9" xr3:uid="{9098E02D-956E-494F-85AE-E3056BF059AD}" name="OBSERVAÇÕES" dataDxfId="154"/>
    <tableColumn id="7" xr3:uid="{3F903ED2-F313-434F-A3C6-2478D1265100}" name="PDF" dataDxfId="153"/>
    <tableColumn id="8" xr3:uid="{E248F404-54D6-4584-ADB9-DCE64097C41C}" name="XML" dataDxfId="152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E36793-3C1E-416F-A6F5-EBA1E562C587}" name="NFSe_NC" displayName="NFSe_NC" ref="A1:Q180" totalsRowShown="0" headerRowDxfId="129">
  <autoFilter ref="A1:Q180" xr:uid="{64E36793-3C1E-416F-A6F5-EBA1E562C587}"/>
  <sortState xmlns:xlrd2="http://schemas.microsoft.com/office/spreadsheetml/2017/richdata2" ref="A2:Q156">
    <sortCondition ref="D1:D156"/>
  </sortState>
  <tableColumns count="17">
    <tableColumn id="2" xr3:uid="{A7301289-630A-49C5-92A4-8DDCAFEA803E}" name="OS" dataDxfId="128"/>
    <tableColumn id="1" xr3:uid="{DAC199D1-421A-4E83-AA7D-63AF34CF2325}" name="CLIENTE" dataDxfId="127"/>
    <tableColumn id="3" xr3:uid="{16A1AFFB-D576-4F1F-8CD6-85382466CE74}" name="TOTAL OS" dataDxfId="126" dataCellStyle="Currency"/>
    <tableColumn id="4" xr3:uid="{F0B5E798-B61F-46FB-968B-67D6F3680200}" name="NFS-e" dataDxfId="125"/>
    <tableColumn id="6" xr3:uid="{A8785C14-4731-4925-881B-87BE0BAB3EE2}" name="VALOR NFS-e" dataDxfId="124" dataCellStyle="Currency"/>
    <tableColumn id="5" xr3:uid="{8F0A7B04-04AF-4D62-BAED-65C6A1448B43}" name="DPS" dataDxfId="123"/>
    <tableColumn id="15" xr3:uid="{1BA27439-E8FA-42AA-802C-B87B8EAECDD3}" name="CHAVE" dataDxfId="122"/>
    <tableColumn id="14" xr3:uid="{D72AAFED-50C9-4FC6-9EA8-1B1620A2F8A3}" name="DATA" dataDxfId="121"/>
    <tableColumn id="7" xr3:uid="{CCEBB459-79E5-477F-9676-291B1301E3E8}" name="STATUS" dataDxfId="120"/>
    <tableColumn id="11" xr3:uid="{FE83BAFB-CDC5-46AE-A4E0-D287B915AD97}" name="OBSERVAÇÕES" dataDxfId="119"/>
    <tableColumn id="16" xr3:uid="{12070C8D-554C-42B4-8AAD-DF454B600D11}" name="RETER ISS" dataDxfId="118"/>
    <tableColumn id="10" xr3:uid="{EC07C887-2A6D-4752-B9C7-5BB408C54F1C}" name="ISS" dataDxfId="117" dataCellStyle="Currency">
      <calculatedColumnFormula>_xlfn.IFS(NFSe_NC[[#This Row],[RETER ISS]]="NÃO",0,NFSe_NC[[#This Row],[RETER ISS]]="SIM",NFSe_NC[[#This Row],[VALOR NFS-e]]*5%)</calculatedColumnFormula>
    </tableColumn>
    <tableColumn id="17" xr3:uid="{729667A9-4F12-4695-8654-627978E5F1C1}" name="RETER INSS" dataDxfId="116" dataCellStyle="Currency"/>
    <tableColumn id="12" xr3:uid="{F2266111-3F10-457A-B66D-D11ADF7CA2ED}" name="INSS" dataDxfId="115" dataCellStyle="Currency">
      <calculatedColumnFormula array="1">_xlfn.IFS(NFSe_NC[[#This Row],[RETER INSS]]="NÃO",0,NFSe_NC[[#This Row],[RETER INSS]]="SIM",NFSe_NC[[#This Row],[VALOR NFS-e]]*11%)</calculatedColumnFormula>
    </tableColumn>
    <tableColumn id="13" xr3:uid="{9BFA290B-4AAC-422E-9EFF-70E0409F6BBB}" name="VALOR LIQUIDO" dataDxfId="114" dataCellStyle="Currency">
      <calculatedColumnFormula>E2-L2-N2</calculatedColumnFormula>
    </tableColumn>
    <tableColumn id="8" xr3:uid="{322A7182-C814-40CD-BD8D-A923635F6991}" name="PDFs" dataDxfId="113" dataCellStyle="Currency"/>
    <tableColumn id="9" xr3:uid="{09949F2B-739D-4EB0-AA64-E35680E73833}" name="XML" dataDxfId="112" dataCellStyle="Currency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240330-8659-45B0-8C17-4BB998740C93}" name="Table13" displayName="Table13" ref="A1:M8" totalsRowShown="0" headerRowDxfId="111" headerRowBorderDxfId="110" tableBorderDxfId="109">
  <autoFilter ref="A1:M8" xr:uid="{6798A1EF-F11C-4939-83C5-BC84C4D1A887}"/>
  <sortState xmlns:xlrd2="http://schemas.microsoft.com/office/spreadsheetml/2017/richdata2" ref="A2:M8">
    <sortCondition ref="D1:D8"/>
  </sortState>
  <tableColumns count="13">
    <tableColumn id="2" xr3:uid="{AE3E15D4-2448-41CE-AED2-238D4DF11084}" name="OS" dataDxfId="108"/>
    <tableColumn id="1" xr3:uid="{0269B98F-8761-4078-ABBF-BD9F6D500F8A}" name="CLIENTE" dataDxfId="107"/>
    <tableColumn id="3" xr3:uid="{F618B51B-B76B-40B5-B08B-6F000A0457E3}" name="TOTAL OS" dataDxfId="106" dataCellStyle="Currency"/>
    <tableColumn id="4" xr3:uid="{ABAB39D9-F73A-4589-A410-AADD788EE844}" name="NF-e" dataDxfId="105"/>
    <tableColumn id="5" xr3:uid="{8B8D6E6C-132E-44A9-8CDE-9342A2CB2492}" name="VALOR" dataDxfId="104" dataCellStyle="Currency"/>
    <tableColumn id="6" xr3:uid="{8E27819B-CDFE-4A38-98BA-ECB41F42973A}" name="NFS-e" dataDxfId="103" dataCellStyle="Currency"/>
    <tableColumn id="12" xr3:uid="{51D83D20-C9D3-4E8A-8527-FA203897214C}" name="DPS" dataDxfId="102"/>
    <tableColumn id="7" xr3:uid="{F66C96F3-4FDF-49A8-8D32-4B80345C5A96}" name="VALOR SERVIÇO" dataDxfId="101" dataCellStyle="Currency"/>
    <tableColumn id="8" xr3:uid="{09B2DD7B-917C-407F-9592-961869B1C2F0}" name="REF" dataDxfId="100" dataCellStyle="Currency"/>
    <tableColumn id="9" xr3:uid="{DD86A761-7C06-4058-BED7-3BECBDCAD19C}" name="XML" dataDxfId="99"/>
    <tableColumn id="10" xr3:uid="{8943C006-D514-4A3D-8A1A-4D0A595E70A5}" name="PDF" dataDxfId="98"/>
    <tableColumn id="11" xr3:uid="{71042E8C-AB97-4479-88F7-EBF4779FAE38}" name="OK" dataDxfId="97"/>
    <tableColumn id="13" xr3:uid="{EFE981A9-FB21-4878-B1E4-46E5602C2D98}" name="STATUS" dataDxfId="9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7728C9-DF9F-4EEE-91E8-A684ACE5C25A}" name="NFe_Nice" displayName="NFe_Nice" ref="A1:M21" totalsRowShown="0">
  <autoFilter ref="A1:M21" xr:uid="{485816D4-02F9-4D79-BCDA-17A3E7394198}"/>
  <sortState xmlns:xlrd2="http://schemas.microsoft.com/office/spreadsheetml/2017/richdata2" ref="A2:M20">
    <sortCondition ref="D1:D20"/>
  </sortState>
  <tableColumns count="13">
    <tableColumn id="2" xr3:uid="{54BE7DB6-F001-48C5-9B93-A460C429E67F}" name="OS" dataDxfId="95"/>
    <tableColumn id="1" xr3:uid="{D107C952-9E22-4D1D-92AE-65BEFFC0FF8E}" name="CLIENTE" dataDxfId="94"/>
    <tableColumn id="3" xr3:uid="{1F9B810F-E052-49E2-8DB1-FA7F578776DF}" name="TOTAL OS" dataDxfId="93" dataCellStyle="Currency"/>
    <tableColumn id="4" xr3:uid="{CC6BC138-ABC0-43D6-8263-1701BD54910B}" name="NF-e" dataDxfId="92"/>
    <tableColumn id="5" xr3:uid="{45271094-5393-4751-95AE-6B78332C8A26}" name="VALOR NF-e" dataDxfId="91" dataCellStyle="Currency"/>
    <tableColumn id="10" xr3:uid="{F79A82CA-463D-41D3-9749-0A4C5E31280F}" name="CFOP" dataDxfId="90" dataCellStyle="Currency"/>
    <tableColumn id="11" xr3:uid="{ACF0BF79-055B-4203-97EA-F1C4BE1D3BF8}" name="NATUREZA" dataDxfId="89" dataCellStyle="Currency">
      <calculatedColumnFormula>VLOOKUP(F2,CFOP[],2,FALSE)</calculatedColumnFormula>
    </tableColumn>
    <tableColumn id="13" xr3:uid="{D86077F9-8C23-4155-8757-7D417840D8C7}" name="CHAVE" dataDxfId="88"/>
    <tableColumn id="12" xr3:uid="{9BF3D5B0-D1B6-4E62-9E82-6A120A5AE71F}" name="EMISSÃO" dataDxfId="87"/>
    <tableColumn id="6" xr3:uid="{68041ECC-1148-4276-AFE7-FF45C159A98C}" name="STATUS" dataDxfId="86"/>
    <tableColumn id="9" xr3:uid="{D376F933-C355-4481-BB6B-8C77D5091C75}" name="OBSERVAÇÕES" dataDxfId="85"/>
    <tableColumn id="7" xr3:uid="{0EDB1DE1-DE62-45C2-80BC-7729225630FB}" name="PDF" dataDxfId="84"/>
    <tableColumn id="8" xr3:uid="{377CD7A0-7B89-465D-872D-AE0BF53F0C22}" name="XML" dataDxfId="83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288BBF-B715-42D1-A5F1-91491210E359}" name="NFSe_Nice" displayName="NFSe_Nice" ref="A1:Q7" totalsRowShown="0" headerRowDxfId="82">
  <autoFilter ref="A1:Q7" xr:uid="{64E36793-3C1E-416F-A6F5-EBA1E562C587}"/>
  <sortState xmlns:xlrd2="http://schemas.microsoft.com/office/spreadsheetml/2017/richdata2" ref="A2:Q5">
    <sortCondition ref="D1:D5"/>
  </sortState>
  <tableColumns count="17">
    <tableColumn id="2" xr3:uid="{9B86275C-74EE-445B-AFA5-45BAC717A51E}" name="OS" dataDxfId="81"/>
    <tableColumn id="1" xr3:uid="{E101ADB7-F6B3-4D7F-8C74-758E1F704670}" name="CLIENTE" dataDxfId="80"/>
    <tableColumn id="3" xr3:uid="{A9788B8C-8AAD-4518-B7AC-213245FC0C02}" name="TOTAL OS" dataDxfId="79" dataCellStyle="Currency"/>
    <tableColumn id="4" xr3:uid="{1FC7AC32-95A3-4EE0-AAE8-DEF055E23989}" name="NFS-e" dataDxfId="78"/>
    <tableColumn id="6" xr3:uid="{459D2843-9F84-464A-8DDE-83F819B12E6E}" name="VALOR NFS-e" dataDxfId="77" dataCellStyle="Currency"/>
    <tableColumn id="5" xr3:uid="{EA9DE50F-D2D5-4634-8C31-4425278C5A90}" name="DPS" dataDxfId="76"/>
    <tableColumn id="15" xr3:uid="{50478C1B-09F7-48AB-B319-0AC64C48F1DA}" name="CHAVE" dataDxfId="75"/>
    <tableColumn id="14" xr3:uid="{2905D3C6-DAB0-46FB-A508-AFFB92E72A88}" name="DATA" dataDxfId="74"/>
    <tableColumn id="7" xr3:uid="{2D547F4C-D52E-47A4-B323-B7EBDFE95B07}" name="STATUS" dataDxfId="73"/>
    <tableColumn id="11" xr3:uid="{4E91A504-291E-45C0-B05D-C57B4D60978D}" name="OBSERVAÇÕES" dataDxfId="72"/>
    <tableColumn id="16" xr3:uid="{A929D3C3-B1ED-40F0-A3EF-2C7DE988F923}" name="RETER ISS" dataDxfId="71"/>
    <tableColumn id="10" xr3:uid="{6BCB00BB-C04B-4F79-A9F5-EAEFE549003D}" name="ISS" dataDxfId="70" dataCellStyle="Currency">
      <calculatedColumnFormula>_xlfn.IFS(NFSe_Nice[[#This Row],[RETER ISS]]="NÃO",0,NFSe_Nice[[#This Row],[RETER ISS]]="SIM",NFSe_Nice[[#This Row],[VALOR NFS-e]]*5%)</calculatedColumnFormula>
    </tableColumn>
    <tableColumn id="17" xr3:uid="{523E2896-A5C8-4264-A77D-9233383A2280}" name="RETER INSS" dataDxfId="69" dataCellStyle="Currency"/>
    <tableColumn id="12" xr3:uid="{447013BD-2A5B-4903-A3FF-3EB56BE9ADF9}" name="INSS" dataDxfId="68" dataCellStyle="Currency">
      <calculatedColumnFormula array="1">_xlfn.IFS(NFSe_Nice[[#This Row],[RETER INSS]]="NÃO",0,NFSe_Nice[[#This Row],[RETER INSS]]="SIM",NFSe_Nice[[#This Row],[VALOR NFS-e]]*11%)</calculatedColumnFormula>
    </tableColumn>
    <tableColumn id="13" xr3:uid="{F042F09E-87E9-4778-87D3-3F7D15353BF3}" name="VALOR LIQUIDO" dataDxfId="67" dataCellStyle="Currency">
      <calculatedColumnFormula>E2-L2-N2</calculatedColumnFormula>
    </tableColumn>
    <tableColumn id="8" xr3:uid="{0007B7DE-2B41-478B-8E42-CA33134A688E}" name="PDFs" dataDxfId="66" dataCellStyle="Currency"/>
    <tableColumn id="9" xr3:uid="{278D4B94-A06C-4B65-A84B-1ED8FDD0847E}" name="XML" dataDxfId="65" dataCellStyle="Currency"/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8056AD-F834-4D1A-BF0C-2A89C9D805EF}" name="CFOP" displayName="CFOP" ref="A1:C21" totalsRowShown="0">
  <autoFilter ref="A1:C21" xr:uid="{858056AD-F834-4D1A-BF0C-2A89C9D805EF}"/>
  <sortState xmlns:xlrd2="http://schemas.microsoft.com/office/spreadsheetml/2017/richdata2" ref="A2:B20">
    <sortCondition ref="A1:A20"/>
  </sortState>
  <tableColumns count="3">
    <tableColumn id="1" xr3:uid="{958C8C60-40E8-4BE6-9D3F-1D8604C16597}" name="CFOP" dataDxfId="64"/>
    <tableColumn id="2" xr3:uid="{FABEF346-BF42-4FE4-BAF8-7F475ED71E74}" name="DESCRIÇÃO" dataDxfId="63"/>
    <tableColumn id="3" xr3:uid="{8CE444A2-A9EE-4973-BFCB-BC89C0B45645}" name="REGIÃO"/>
  </tableColumns>
  <tableStyleInfo name="TableStyleMedium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B583B7-24DD-4D13-83FF-5B2470D422F2}" name="Valor_M²" displayName="Valor_M²" ref="E1:G14" totalsRowShown="0">
  <autoFilter ref="E1:G14" xr:uid="{D9B583B7-24DD-4D13-83FF-5B2470D422F2}"/>
  <tableColumns count="3">
    <tableColumn id="1" xr3:uid="{B90F590E-DF51-4E5A-AF6E-25805713EC48}" name="PRODUTO"/>
    <tableColumn id="2" xr3:uid="{80FD324A-B90D-4B63-8CD8-BDFD112C19CF}" name="VALOR M²"/>
    <tableColumn id="3" xr3:uid="{F6688576-FDC4-449B-839C-BD81D39E13CC}" name="PESO" dataDxfId="62"/>
  </tableColumns>
  <tableStyleInfo name="TableStyleMedium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47FCA7-FC6B-484D-B900-54C210977A26}" name="Table_Serviços" displayName="Table_Serviços" ref="A1:F216" totalsRowShown="0">
  <autoFilter ref="A1:F216" xr:uid="{992C881D-6254-4D8B-ABEB-A8A316D2A29D}"/>
  <sortState xmlns:xlrd2="http://schemas.microsoft.com/office/spreadsheetml/2017/richdata2" ref="A2:F194">
    <sortCondition ref="F1:F194"/>
  </sortState>
  <tableColumns count="6">
    <tableColumn id="1" xr3:uid="{9D8E5C01-A9B8-45A9-9774-B32A2874185F}" name="SERVIÇO" dataDxfId="46"/>
    <tableColumn id="2" xr3:uid="{D6507069-B5CC-4B2B-BA35-5AD0E4FFB734}" name="QTDE" dataDxfId="45" dataCellStyle="Currency"/>
    <tableColumn id="3" xr3:uid="{FE59232C-FC2E-44AF-B2D2-83283F4532FF}" name="V. UNIT" dataDxfId="44" dataCellStyle="Currency"/>
    <tableColumn id="4" xr3:uid="{7FFD6997-055F-4627-BB2B-795306FEA3E6}" name="V. TOTAL" dataCellStyle="Currency"/>
    <tableColumn id="7" xr3:uid="{66E65BA1-4970-4356-A387-4F6BF80D6AA3}" name="CLIENTE" dataDxfId="43"/>
    <tableColumn id="8" xr3:uid="{B9662606-5CED-4DA3-B1EC-12752FCC1125}" name="OS" dataDxfId="42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92C881D-6254-4D8B-ABEB-A8A316D2A29D}" name="Table_Produtos" displayName="Table_Produtos" ref="A1:H471" totalsRowShown="0">
  <autoFilter ref="A1:H471" xr:uid="{992C881D-6254-4D8B-ABEB-A8A316D2A29D}"/>
  <sortState xmlns:xlrd2="http://schemas.microsoft.com/office/spreadsheetml/2017/richdata2" ref="A2:H427">
    <sortCondition ref="H1:H427"/>
  </sortState>
  <tableColumns count="8">
    <tableColumn id="1" xr3:uid="{1D52DCD6-345A-447A-A8DB-1D1302469F89}" name="PRODUTO" dataDxfId="61"/>
    <tableColumn id="2" xr3:uid="{0D813574-833B-4619-946C-1EE58DB515D0}" name="UNIDADE" dataDxfId="60" dataCellStyle="Currency"/>
    <tableColumn id="3" xr3:uid="{B819A276-1D23-4794-98FB-8ED25B079433}" name="QTDE" dataDxfId="59" dataCellStyle="Currency"/>
    <tableColumn id="4" xr3:uid="{A60558DD-3438-4AD7-8D5E-30F51D094B5C}" name="NCM"/>
    <tableColumn id="5" xr3:uid="{D6CD3EEA-9563-4B2E-BDF3-4A065E1D5DA0}" name="V. UNIT" dataDxfId="58" dataCellStyle="Currency"/>
    <tableColumn id="6" xr3:uid="{9256C845-B088-4426-B1E7-2091CB526DFC}" name="V. TOTAL" dataCellStyle="Currency"/>
    <tableColumn id="7" xr3:uid="{CACAEB77-2405-4C58-AD57-C34F6D855048}" name="CLIENTE"/>
    <tableColumn id="8" xr3:uid="{E841717F-53F5-47EE-989B-F56BE93E6A05}" name="OS" dataDxfId="57"/>
  </tableColumns>
  <tableStyleInfo name="TableStyleMedium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024A45-1F6C-428D-A0FE-704A23FF8C0D}" name="Table12" displayName="Table12" ref="A1:C4" totalsRowShown="0">
  <autoFilter ref="A1:C4" xr:uid="{C8024A45-1F6C-428D-A0FE-704A23FF8C0D}"/>
  <tableColumns count="3">
    <tableColumn id="1" xr3:uid="{DD9DE71B-2C25-46A8-B3A1-7F68C7FF2849}" name="Peso Max por Folha"/>
    <tableColumn id="2" xr3:uid="{B85699D5-117F-42DC-86B1-C1D4F4DE89AE}" name="Lateral" dataDxfId="56"/>
    <tableColumn id="3" xr3:uid="{A796CBEB-D62E-41FF-9799-590BD3D072F5}" name="Central" dataDxfId="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C One">
      <a:dk1>
        <a:srgbClr val="39588A"/>
      </a:dk1>
      <a:lt1>
        <a:srgbClr val="FFFFFF"/>
      </a:lt1>
      <a:dk2>
        <a:srgbClr val="2F4A78"/>
      </a:dk2>
      <a:lt2>
        <a:srgbClr val="B5B5B5"/>
      </a:lt2>
      <a:accent1>
        <a:srgbClr val="FDC52E"/>
      </a:accent1>
      <a:accent2>
        <a:srgbClr val="70AD47"/>
      </a:accent2>
      <a:accent3>
        <a:srgbClr val="ED7D31"/>
      </a:accent3>
      <a:accent4>
        <a:srgbClr val="A97DBA"/>
      </a:accent4>
      <a:accent5>
        <a:srgbClr val="B5B5B5"/>
      </a:accent5>
      <a:accent6>
        <a:srgbClr val="C00000"/>
      </a:accent6>
      <a:hlink>
        <a:srgbClr val="39588A"/>
      </a:hlink>
      <a:folHlink>
        <a:srgbClr val="7030A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AC18-C139-46B3-ACCB-53F1B7DDDCD3}">
  <sheetPr>
    <tabColor theme="7"/>
  </sheetPr>
  <dimension ref="A1:D468"/>
  <sheetViews>
    <sheetView showGridLines="0" zoomScale="90" zoomScaleNormal="90" workbookViewId="0">
      <pane ySplit="1" topLeftCell="A456" activePane="bottomLeft" state="frozen"/>
      <selection pane="bottomLeft" activeCell="C474" sqref="C474"/>
    </sheetView>
  </sheetViews>
  <sheetFormatPr defaultRowHeight="16.5" x14ac:dyDescent="0.3"/>
  <cols>
    <col min="1" max="1" width="12.75" style="22" customWidth="1"/>
    <col min="2" max="2" width="38" bestFit="1" customWidth="1"/>
    <col min="3" max="3" width="26.75" bestFit="1" customWidth="1"/>
    <col min="4" max="4" width="15.125" style="1" customWidth="1"/>
    <col min="10" max="10" width="9.75" customWidth="1"/>
    <col min="19" max="19" width="9.875" bestFit="1" customWidth="1"/>
  </cols>
  <sheetData>
    <row r="1" spans="1:4" ht="17.25" thickBot="1" x14ac:dyDescent="0.35">
      <c r="A1" s="225" t="s">
        <v>80</v>
      </c>
      <c r="B1" s="226" t="s">
        <v>78</v>
      </c>
      <c r="C1" s="226" t="s">
        <v>79</v>
      </c>
      <c r="D1" s="226" t="s">
        <v>77</v>
      </c>
    </row>
    <row r="2" spans="1:4" hidden="1" x14ac:dyDescent="0.3">
      <c r="A2" s="22">
        <v>46035</v>
      </c>
      <c r="B2" t="s">
        <v>106</v>
      </c>
      <c r="D2" s="14" t="s">
        <v>82</v>
      </c>
    </row>
    <row r="3" spans="1:4" hidden="1" x14ac:dyDescent="0.3">
      <c r="A3" s="22">
        <v>46126</v>
      </c>
      <c r="B3" t="s">
        <v>1548</v>
      </c>
      <c r="D3" s="15" t="s">
        <v>82</v>
      </c>
    </row>
    <row r="4" spans="1:4" hidden="1" x14ac:dyDescent="0.3">
      <c r="A4" s="22">
        <v>46038</v>
      </c>
      <c r="B4" t="s">
        <v>186</v>
      </c>
      <c r="C4" t="s">
        <v>188</v>
      </c>
      <c r="D4" s="15" t="s">
        <v>82</v>
      </c>
    </row>
    <row r="5" spans="1:4" hidden="1" x14ac:dyDescent="0.3">
      <c r="A5" s="22">
        <v>46038</v>
      </c>
      <c r="B5" t="s">
        <v>187</v>
      </c>
      <c r="C5" t="s">
        <v>188</v>
      </c>
      <c r="D5" s="15" t="s">
        <v>82</v>
      </c>
    </row>
    <row r="6" spans="1:4" hidden="1" x14ac:dyDescent="0.3">
      <c r="A6" s="22">
        <v>46038</v>
      </c>
      <c r="B6" t="s">
        <v>189</v>
      </c>
      <c r="C6" t="s">
        <v>188</v>
      </c>
      <c r="D6" s="15" t="s">
        <v>82</v>
      </c>
    </row>
    <row r="7" spans="1:4" hidden="1" x14ac:dyDescent="0.3">
      <c r="A7" s="22">
        <v>46038</v>
      </c>
      <c r="B7" t="s">
        <v>197</v>
      </c>
      <c r="C7" t="s">
        <v>188</v>
      </c>
      <c r="D7" s="15" t="s">
        <v>82</v>
      </c>
    </row>
    <row r="8" spans="1:4" hidden="1" x14ac:dyDescent="0.3">
      <c r="A8" s="22">
        <v>46084</v>
      </c>
      <c r="B8" t="s">
        <v>966</v>
      </c>
      <c r="C8" t="s">
        <v>844</v>
      </c>
      <c r="D8" s="15" t="s">
        <v>82</v>
      </c>
    </row>
    <row r="9" spans="1:4" hidden="1" x14ac:dyDescent="0.3">
      <c r="A9" s="22">
        <v>46072</v>
      </c>
      <c r="B9" t="s">
        <v>799</v>
      </c>
      <c r="C9" t="s">
        <v>800</v>
      </c>
      <c r="D9" s="15" t="s">
        <v>82</v>
      </c>
    </row>
    <row r="10" spans="1:4" hidden="1" x14ac:dyDescent="0.3">
      <c r="A10" s="22">
        <v>46072</v>
      </c>
      <c r="B10" t="s">
        <v>799</v>
      </c>
      <c r="C10" t="s">
        <v>801</v>
      </c>
      <c r="D10" s="15" t="s">
        <v>82</v>
      </c>
    </row>
    <row r="11" spans="1:4" hidden="1" x14ac:dyDescent="0.3">
      <c r="A11" s="22">
        <v>46055</v>
      </c>
      <c r="B11" t="s">
        <v>1485</v>
      </c>
      <c r="C11" t="s">
        <v>338</v>
      </c>
      <c r="D11" s="15" t="s">
        <v>82</v>
      </c>
    </row>
    <row r="12" spans="1:4" hidden="1" x14ac:dyDescent="0.3">
      <c r="A12" s="22">
        <v>46057</v>
      </c>
      <c r="B12" t="s">
        <v>1486</v>
      </c>
      <c r="C12" t="s">
        <v>101</v>
      </c>
      <c r="D12" s="15" t="s">
        <v>82</v>
      </c>
    </row>
    <row r="13" spans="1:4" hidden="1" x14ac:dyDescent="0.3">
      <c r="A13" s="22">
        <v>46134</v>
      </c>
      <c r="B13" t="s">
        <v>1694</v>
      </c>
      <c r="C13" t="s">
        <v>1695</v>
      </c>
      <c r="D13" s="15" t="s">
        <v>82</v>
      </c>
    </row>
    <row r="14" spans="1:4" hidden="1" x14ac:dyDescent="0.3">
      <c r="A14" s="22">
        <v>46127</v>
      </c>
      <c r="B14" t="s">
        <v>1614</v>
      </c>
      <c r="C14" t="s">
        <v>1615</v>
      </c>
      <c r="D14" s="15" t="s">
        <v>82</v>
      </c>
    </row>
    <row r="15" spans="1:4" hidden="1" x14ac:dyDescent="0.3">
      <c r="A15" s="22">
        <v>46105</v>
      </c>
      <c r="B15" t="s">
        <v>1180</v>
      </c>
      <c r="C15" t="s">
        <v>1181</v>
      </c>
      <c r="D15" s="15" t="s">
        <v>82</v>
      </c>
    </row>
    <row r="16" spans="1:4" hidden="1" x14ac:dyDescent="0.3">
      <c r="A16" s="22">
        <v>46085</v>
      </c>
      <c r="B16" t="s">
        <v>970</v>
      </c>
      <c r="C16" t="s">
        <v>971</v>
      </c>
      <c r="D16" s="15" t="s">
        <v>82</v>
      </c>
    </row>
    <row r="17" spans="1:4" hidden="1" x14ac:dyDescent="0.3">
      <c r="A17" s="22">
        <v>46071</v>
      </c>
      <c r="B17" t="s">
        <v>793</v>
      </c>
      <c r="C17" t="s">
        <v>579</v>
      </c>
      <c r="D17" s="15" t="s">
        <v>82</v>
      </c>
    </row>
    <row r="18" spans="1:4" hidden="1" x14ac:dyDescent="0.3">
      <c r="A18" s="22">
        <v>46049</v>
      </c>
      <c r="B18" t="s">
        <v>281</v>
      </c>
      <c r="D18" s="15" t="s">
        <v>82</v>
      </c>
    </row>
    <row r="19" spans="1:4" hidden="1" x14ac:dyDescent="0.3">
      <c r="A19" s="22">
        <v>46079</v>
      </c>
      <c r="B19" t="s">
        <v>917</v>
      </c>
      <c r="C19" t="s">
        <v>938</v>
      </c>
      <c r="D19" s="15" t="s">
        <v>82</v>
      </c>
    </row>
    <row r="20" spans="1:4" hidden="1" x14ac:dyDescent="0.3">
      <c r="A20" s="22">
        <v>46119</v>
      </c>
      <c r="B20" t="s">
        <v>1487</v>
      </c>
      <c r="D20" s="15" t="s">
        <v>82</v>
      </c>
    </row>
    <row r="21" spans="1:4" hidden="1" x14ac:dyDescent="0.3">
      <c r="A21" s="22">
        <v>46042</v>
      </c>
      <c r="B21" t="s">
        <v>245</v>
      </c>
      <c r="C21" t="s">
        <v>244</v>
      </c>
      <c r="D21" s="15" t="s">
        <v>82</v>
      </c>
    </row>
    <row r="22" spans="1:4" hidden="1" x14ac:dyDescent="0.3">
      <c r="A22" s="22">
        <v>46035</v>
      </c>
      <c r="B22" t="s">
        <v>246</v>
      </c>
      <c r="C22" t="s">
        <v>101</v>
      </c>
      <c r="D22" s="15" t="s">
        <v>82</v>
      </c>
    </row>
    <row r="23" spans="1:4" hidden="1" x14ac:dyDescent="0.3">
      <c r="A23" s="22">
        <v>46073</v>
      </c>
      <c r="B23" t="s">
        <v>829</v>
      </c>
      <c r="C23" t="s">
        <v>818</v>
      </c>
      <c r="D23" s="15" t="s">
        <v>82</v>
      </c>
    </row>
    <row r="24" spans="1:4" hidden="1" x14ac:dyDescent="0.3">
      <c r="A24" s="22">
        <v>46079</v>
      </c>
      <c r="B24" t="s">
        <v>934</v>
      </c>
      <c r="C24" t="s">
        <v>885</v>
      </c>
      <c r="D24" s="15" t="s">
        <v>82</v>
      </c>
    </row>
    <row r="25" spans="1:4" hidden="1" x14ac:dyDescent="0.3">
      <c r="A25" s="22">
        <v>46114</v>
      </c>
      <c r="B25" t="s">
        <v>934</v>
      </c>
      <c r="C25" t="s">
        <v>1335</v>
      </c>
      <c r="D25" s="15" t="s">
        <v>82</v>
      </c>
    </row>
    <row r="26" spans="1:4" hidden="1" x14ac:dyDescent="0.3">
      <c r="A26" s="22">
        <v>46035</v>
      </c>
      <c r="B26" t="s">
        <v>247</v>
      </c>
      <c r="C26" t="s">
        <v>126</v>
      </c>
      <c r="D26" s="15" t="s">
        <v>82</v>
      </c>
    </row>
    <row r="27" spans="1:4" hidden="1" x14ac:dyDescent="0.3">
      <c r="A27" s="22">
        <v>46050</v>
      </c>
      <c r="B27" t="s">
        <v>299</v>
      </c>
      <c r="C27" t="s">
        <v>312</v>
      </c>
      <c r="D27" s="15" t="s">
        <v>82</v>
      </c>
    </row>
    <row r="28" spans="1:4" hidden="1" x14ac:dyDescent="0.3">
      <c r="A28" s="22">
        <v>46035</v>
      </c>
      <c r="B28" t="s">
        <v>251</v>
      </c>
      <c r="C28" t="s">
        <v>151</v>
      </c>
      <c r="D28" s="15" t="s">
        <v>82</v>
      </c>
    </row>
    <row r="29" spans="1:4" hidden="1" x14ac:dyDescent="0.3">
      <c r="A29" s="22">
        <v>46038</v>
      </c>
      <c r="B29" t="s">
        <v>199</v>
      </c>
      <c r="C29" t="s">
        <v>200</v>
      </c>
      <c r="D29" s="15" t="s">
        <v>82</v>
      </c>
    </row>
    <row r="30" spans="1:4" hidden="1" x14ac:dyDescent="0.3">
      <c r="A30" s="22">
        <v>46065</v>
      </c>
      <c r="B30" t="s">
        <v>1488</v>
      </c>
      <c r="C30" t="s">
        <v>764</v>
      </c>
      <c r="D30" s="15" t="s">
        <v>82</v>
      </c>
    </row>
    <row r="31" spans="1:4" hidden="1" x14ac:dyDescent="0.3">
      <c r="A31" s="22">
        <v>46036</v>
      </c>
      <c r="B31" t="s">
        <v>248</v>
      </c>
      <c r="D31" s="15" t="s">
        <v>82</v>
      </c>
    </row>
    <row r="32" spans="1:4" hidden="1" x14ac:dyDescent="0.3">
      <c r="A32" s="22">
        <v>46072</v>
      </c>
      <c r="B32" t="s">
        <v>824</v>
      </c>
      <c r="C32" t="s">
        <v>823</v>
      </c>
      <c r="D32" s="15" t="s">
        <v>82</v>
      </c>
    </row>
    <row r="33" spans="1:4" hidden="1" x14ac:dyDescent="0.3">
      <c r="A33" s="22">
        <v>46038</v>
      </c>
      <c r="B33" t="s">
        <v>252</v>
      </c>
      <c r="D33" s="15" t="s">
        <v>82</v>
      </c>
    </row>
    <row r="34" spans="1:4" hidden="1" x14ac:dyDescent="0.3">
      <c r="A34" s="22">
        <v>46084</v>
      </c>
      <c r="B34" t="s">
        <v>960</v>
      </c>
      <c r="D34" s="15" t="s">
        <v>82</v>
      </c>
    </row>
    <row r="35" spans="1:4" hidden="1" x14ac:dyDescent="0.3">
      <c r="A35" s="22">
        <v>46076</v>
      </c>
      <c r="B35" t="s">
        <v>847</v>
      </c>
      <c r="D35" s="15" t="s">
        <v>82</v>
      </c>
    </row>
    <row r="36" spans="1:4" hidden="1" x14ac:dyDescent="0.3">
      <c r="A36" s="22">
        <v>46009</v>
      </c>
      <c r="B36" t="s">
        <v>1492</v>
      </c>
      <c r="C36" t="s">
        <v>249</v>
      </c>
      <c r="D36" s="15" t="s">
        <v>82</v>
      </c>
    </row>
    <row r="37" spans="1:4" hidden="1" x14ac:dyDescent="0.3">
      <c r="A37" s="22">
        <v>46073</v>
      </c>
      <c r="B37" t="s">
        <v>1490</v>
      </c>
      <c r="C37" t="s">
        <v>830</v>
      </c>
      <c r="D37" s="15" t="s">
        <v>82</v>
      </c>
    </row>
    <row r="38" spans="1:4" hidden="1" x14ac:dyDescent="0.3">
      <c r="A38" s="22">
        <v>46064</v>
      </c>
      <c r="B38" t="s">
        <v>754</v>
      </c>
      <c r="C38" t="s">
        <v>101</v>
      </c>
      <c r="D38" s="15" t="s">
        <v>82</v>
      </c>
    </row>
    <row r="39" spans="1:4" hidden="1" x14ac:dyDescent="0.3">
      <c r="A39" s="22">
        <v>46006</v>
      </c>
      <c r="B39" t="s">
        <v>1491</v>
      </c>
      <c r="C39" t="s">
        <v>250</v>
      </c>
      <c r="D39" s="15" t="s">
        <v>82</v>
      </c>
    </row>
    <row r="40" spans="1:4" hidden="1" x14ac:dyDescent="0.3">
      <c r="A40" s="22">
        <v>46065</v>
      </c>
      <c r="B40" t="s">
        <v>1489</v>
      </c>
      <c r="C40" t="s">
        <v>764</v>
      </c>
      <c r="D40" s="15" t="s">
        <v>82</v>
      </c>
    </row>
    <row r="41" spans="1:4" hidden="1" x14ac:dyDescent="0.3">
      <c r="A41" s="22">
        <v>46064</v>
      </c>
      <c r="B41" t="s">
        <v>763</v>
      </c>
      <c r="C41" t="s">
        <v>764</v>
      </c>
      <c r="D41" s="15" t="s">
        <v>82</v>
      </c>
    </row>
    <row r="42" spans="1:4" hidden="1" x14ac:dyDescent="0.3">
      <c r="A42" s="22">
        <v>46077</v>
      </c>
      <c r="B42" t="s">
        <v>881</v>
      </c>
      <c r="C42" t="s">
        <v>882</v>
      </c>
      <c r="D42" s="15" t="s">
        <v>82</v>
      </c>
    </row>
    <row r="43" spans="1:4" hidden="1" x14ac:dyDescent="0.3">
      <c r="A43" s="22">
        <v>46035</v>
      </c>
      <c r="B43" t="s">
        <v>104</v>
      </c>
      <c r="C43" t="s">
        <v>105</v>
      </c>
      <c r="D43" s="15" t="s">
        <v>82</v>
      </c>
    </row>
    <row r="44" spans="1:4" hidden="1" x14ac:dyDescent="0.3">
      <c r="A44" s="22">
        <v>46064</v>
      </c>
      <c r="B44" t="s">
        <v>725</v>
      </c>
      <c r="D44" s="15" t="s">
        <v>82</v>
      </c>
    </row>
    <row r="45" spans="1:4" hidden="1" x14ac:dyDescent="0.3">
      <c r="A45" s="22">
        <v>46038</v>
      </c>
      <c r="B45" t="s">
        <v>181</v>
      </c>
      <c r="D45" s="15" t="s">
        <v>82</v>
      </c>
    </row>
    <row r="46" spans="1:4" hidden="1" x14ac:dyDescent="0.3">
      <c r="A46" s="22">
        <v>46076</v>
      </c>
      <c r="B46" t="s">
        <v>856</v>
      </c>
      <c r="C46" t="s">
        <v>857</v>
      </c>
      <c r="D46" s="15" t="s">
        <v>82</v>
      </c>
    </row>
    <row r="47" spans="1:4" hidden="1" x14ac:dyDescent="0.3">
      <c r="A47" s="22">
        <v>46050</v>
      </c>
      <c r="B47" t="s">
        <v>301</v>
      </c>
      <c r="C47" t="s">
        <v>302</v>
      </c>
      <c r="D47" s="15" t="s">
        <v>82</v>
      </c>
    </row>
    <row r="48" spans="1:4" hidden="1" x14ac:dyDescent="0.3">
      <c r="A48" s="22">
        <v>46077</v>
      </c>
      <c r="B48" t="s">
        <v>1484</v>
      </c>
      <c r="C48" t="s">
        <v>859</v>
      </c>
      <c r="D48" s="15" t="s">
        <v>82</v>
      </c>
    </row>
    <row r="49" spans="1:4" hidden="1" x14ac:dyDescent="0.3">
      <c r="A49" s="22">
        <v>46077</v>
      </c>
      <c r="B49" t="s">
        <v>1484</v>
      </c>
      <c r="C49" t="s">
        <v>858</v>
      </c>
      <c r="D49" s="15" t="s">
        <v>82</v>
      </c>
    </row>
    <row r="50" spans="1:4" hidden="1" x14ac:dyDescent="0.3">
      <c r="A50" s="22">
        <v>46056</v>
      </c>
      <c r="B50" t="s">
        <v>1484</v>
      </c>
      <c r="C50" t="s">
        <v>345</v>
      </c>
      <c r="D50" s="15" t="s">
        <v>82</v>
      </c>
    </row>
    <row r="51" spans="1:4" hidden="1" x14ac:dyDescent="0.3">
      <c r="A51" s="22">
        <v>46097</v>
      </c>
      <c r="B51" t="s">
        <v>1419</v>
      </c>
      <c r="C51" t="s">
        <v>1063</v>
      </c>
      <c r="D51" s="15" t="s">
        <v>82</v>
      </c>
    </row>
    <row r="52" spans="1:4" hidden="1" x14ac:dyDescent="0.3">
      <c r="A52" s="22">
        <v>46128</v>
      </c>
      <c r="B52" t="s">
        <v>1419</v>
      </c>
      <c r="C52" t="s">
        <v>1065</v>
      </c>
      <c r="D52" s="15" t="s">
        <v>82</v>
      </c>
    </row>
    <row r="53" spans="1:4" hidden="1" x14ac:dyDescent="0.3">
      <c r="A53" s="22">
        <v>46094</v>
      </c>
      <c r="B53" t="s">
        <v>1427</v>
      </c>
      <c r="C53" t="s">
        <v>1070</v>
      </c>
      <c r="D53" s="15" t="s">
        <v>82</v>
      </c>
    </row>
    <row r="54" spans="1:4" hidden="1" x14ac:dyDescent="0.3">
      <c r="A54" s="22">
        <v>46094</v>
      </c>
      <c r="B54" t="s">
        <v>1427</v>
      </c>
      <c r="C54" t="s">
        <v>1069</v>
      </c>
      <c r="D54" s="15" t="s">
        <v>82</v>
      </c>
    </row>
    <row r="55" spans="1:4" hidden="1" x14ac:dyDescent="0.3">
      <c r="A55" s="22">
        <v>46134</v>
      </c>
      <c r="B55" t="s">
        <v>1427</v>
      </c>
      <c r="C55" t="s">
        <v>782</v>
      </c>
      <c r="D55" s="15" t="s">
        <v>82</v>
      </c>
    </row>
    <row r="56" spans="1:4" hidden="1" x14ac:dyDescent="0.3">
      <c r="A56" s="22">
        <v>46134</v>
      </c>
      <c r="B56" t="s">
        <v>1699</v>
      </c>
      <c r="C56" t="s">
        <v>288</v>
      </c>
      <c r="D56" s="15" t="s">
        <v>82</v>
      </c>
    </row>
    <row r="57" spans="1:4" hidden="1" x14ac:dyDescent="0.3">
      <c r="A57" s="22">
        <v>46035</v>
      </c>
      <c r="B57" t="s">
        <v>1428</v>
      </c>
      <c r="C57" t="s">
        <v>266</v>
      </c>
      <c r="D57" s="15" t="s">
        <v>82</v>
      </c>
    </row>
    <row r="58" spans="1:4" hidden="1" x14ac:dyDescent="0.3">
      <c r="A58" s="22">
        <v>46083</v>
      </c>
      <c r="B58" t="s">
        <v>1429</v>
      </c>
      <c r="C58" t="s">
        <v>67</v>
      </c>
      <c r="D58" s="15" t="s">
        <v>82</v>
      </c>
    </row>
    <row r="59" spans="1:4" hidden="1" x14ac:dyDescent="0.3">
      <c r="A59" s="22">
        <v>46055</v>
      </c>
      <c r="B59" t="s">
        <v>1430</v>
      </c>
      <c r="C59" t="s">
        <v>267</v>
      </c>
      <c r="D59" s="15" t="s">
        <v>82</v>
      </c>
    </row>
    <row r="60" spans="1:4" hidden="1" x14ac:dyDescent="0.3">
      <c r="A60" s="22">
        <v>46041</v>
      </c>
      <c r="B60" t="s">
        <v>1431</v>
      </c>
      <c r="C60" t="s">
        <v>210</v>
      </c>
      <c r="D60" s="15" t="s">
        <v>82</v>
      </c>
    </row>
    <row r="61" spans="1:4" hidden="1" x14ac:dyDescent="0.3">
      <c r="A61" s="22">
        <v>46099</v>
      </c>
      <c r="B61" t="s">
        <v>1411</v>
      </c>
      <c r="C61" t="s">
        <v>844</v>
      </c>
      <c r="D61" s="15" t="s">
        <v>82</v>
      </c>
    </row>
    <row r="62" spans="1:4" hidden="1" x14ac:dyDescent="0.3">
      <c r="A62" s="22">
        <v>46115</v>
      </c>
      <c r="B62" t="s">
        <v>1432</v>
      </c>
      <c r="C62" t="s">
        <v>1202</v>
      </c>
      <c r="D62" s="15" t="s">
        <v>82</v>
      </c>
    </row>
    <row r="63" spans="1:4" hidden="1" x14ac:dyDescent="0.3">
      <c r="A63" s="22">
        <v>46009</v>
      </c>
      <c r="B63" t="s">
        <v>1433</v>
      </c>
      <c r="C63" t="s">
        <v>267</v>
      </c>
      <c r="D63" s="15" t="s">
        <v>82</v>
      </c>
    </row>
    <row r="64" spans="1:4" hidden="1" x14ac:dyDescent="0.3">
      <c r="A64" s="22">
        <v>46062</v>
      </c>
      <c r="B64" t="s">
        <v>1434</v>
      </c>
      <c r="C64" t="s">
        <v>416</v>
      </c>
      <c r="D64" s="15" t="s">
        <v>82</v>
      </c>
    </row>
    <row r="65" spans="1:4" hidden="1" x14ac:dyDescent="0.3">
      <c r="A65" s="22">
        <v>46083</v>
      </c>
      <c r="B65" t="s">
        <v>1435</v>
      </c>
      <c r="C65" t="s">
        <v>951</v>
      </c>
      <c r="D65" s="15" t="s">
        <v>82</v>
      </c>
    </row>
    <row r="66" spans="1:4" hidden="1" x14ac:dyDescent="0.3">
      <c r="A66" s="22">
        <v>46090</v>
      </c>
      <c r="B66" t="s">
        <v>1435</v>
      </c>
      <c r="C66" t="s">
        <v>298</v>
      </c>
      <c r="D66" s="15" t="s">
        <v>82</v>
      </c>
    </row>
    <row r="67" spans="1:4" hidden="1" x14ac:dyDescent="0.3">
      <c r="A67" s="22">
        <v>46090</v>
      </c>
      <c r="B67" t="s">
        <v>1435</v>
      </c>
      <c r="C67" t="s">
        <v>298</v>
      </c>
      <c r="D67" s="15" t="s">
        <v>82</v>
      </c>
    </row>
    <row r="68" spans="1:4" hidden="1" x14ac:dyDescent="0.3">
      <c r="A68" s="22">
        <v>46078</v>
      </c>
      <c r="B68" t="s">
        <v>1436</v>
      </c>
      <c r="C68" t="s">
        <v>782</v>
      </c>
      <c r="D68" s="15" t="s">
        <v>82</v>
      </c>
    </row>
    <row r="69" spans="1:4" hidden="1" x14ac:dyDescent="0.3">
      <c r="A69" s="22">
        <v>46078</v>
      </c>
      <c r="B69" t="s">
        <v>1436</v>
      </c>
      <c r="C69" t="s">
        <v>782</v>
      </c>
      <c r="D69" s="15" t="s">
        <v>82</v>
      </c>
    </row>
    <row r="70" spans="1:4" hidden="1" x14ac:dyDescent="0.3">
      <c r="A70" s="22">
        <v>46078</v>
      </c>
      <c r="B70" t="s">
        <v>1437</v>
      </c>
      <c r="C70" t="s">
        <v>782</v>
      </c>
      <c r="D70" s="15" t="s">
        <v>82</v>
      </c>
    </row>
    <row r="71" spans="1:4" hidden="1" x14ac:dyDescent="0.3">
      <c r="A71" s="22">
        <v>46051</v>
      </c>
      <c r="B71" t="s">
        <v>1438</v>
      </c>
      <c r="C71" t="s">
        <v>286</v>
      </c>
      <c r="D71" s="15" t="s">
        <v>82</v>
      </c>
    </row>
    <row r="72" spans="1:4" hidden="1" x14ac:dyDescent="0.3">
      <c r="A72" s="22">
        <v>46041</v>
      </c>
      <c r="B72" t="s">
        <v>1410</v>
      </c>
      <c r="C72" t="s">
        <v>126</v>
      </c>
      <c r="D72" s="15" t="s">
        <v>82</v>
      </c>
    </row>
    <row r="73" spans="1:4" hidden="1" x14ac:dyDescent="0.3">
      <c r="A73" s="22">
        <v>46120</v>
      </c>
      <c r="B73" t="s">
        <v>1410</v>
      </c>
      <c r="C73" t="s">
        <v>212</v>
      </c>
      <c r="D73" s="15" t="s">
        <v>82</v>
      </c>
    </row>
    <row r="74" spans="1:4" hidden="1" x14ac:dyDescent="0.3">
      <c r="A74" s="22">
        <v>46119</v>
      </c>
      <c r="B74" t="s">
        <v>1363</v>
      </c>
      <c r="C74" t="s">
        <v>1364</v>
      </c>
      <c r="D74" s="15" t="s">
        <v>82</v>
      </c>
    </row>
    <row r="75" spans="1:4" hidden="1" x14ac:dyDescent="0.3">
      <c r="A75" s="22">
        <v>46055</v>
      </c>
      <c r="B75" t="s">
        <v>1420</v>
      </c>
      <c r="C75" t="s">
        <v>324</v>
      </c>
      <c r="D75" s="15" t="s">
        <v>82</v>
      </c>
    </row>
    <row r="76" spans="1:4" hidden="1" x14ac:dyDescent="0.3">
      <c r="A76" s="22">
        <v>46100</v>
      </c>
      <c r="B76" t="s">
        <v>1420</v>
      </c>
      <c r="C76" t="s">
        <v>1150</v>
      </c>
      <c r="D76" s="15" t="s">
        <v>82</v>
      </c>
    </row>
    <row r="77" spans="1:4" hidden="1" x14ac:dyDescent="0.3">
      <c r="A77" s="22">
        <v>46100</v>
      </c>
      <c r="B77" t="s">
        <v>1420</v>
      </c>
      <c r="C77" t="s">
        <v>1159</v>
      </c>
      <c r="D77" s="15" t="s">
        <v>82</v>
      </c>
    </row>
    <row r="78" spans="1:4" hidden="1" x14ac:dyDescent="0.3">
      <c r="A78" s="22">
        <v>46090</v>
      </c>
      <c r="B78" t="s">
        <v>1483</v>
      </c>
      <c r="C78" t="s">
        <v>1047</v>
      </c>
      <c r="D78" s="15" t="s">
        <v>82</v>
      </c>
    </row>
    <row r="79" spans="1:4" hidden="1" x14ac:dyDescent="0.3">
      <c r="A79" s="22">
        <v>46083</v>
      </c>
      <c r="B79" t="s">
        <v>1439</v>
      </c>
      <c r="C79" t="s">
        <v>954</v>
      </c>
      <c r="D79" s="15" t="s">
        <v>82</v>
      </c>
    </row>
    <row r="80" spans="1:4" hidden="1" x14ac:dyDescent="0.3">
      <c r="A80" s="22">
        <v>46077</v>
      </c>
      <c r="B80" t="s">
        <v>1440</v>
      </c>
      <c r="C80" t="s">
        <v>800</v>
      </c>
      <c r="D80" s="15" t="s">
        <v>82</v>
      </c>
    </row>
    <row r="81" spans="1:4" hidden="1" x14ac:dyDescent="0.3">
      <c r="A81" s="22">
        <v>46134</v>
      </c>
      <c r="B81" t="s">
        <v>1698</v>
      </c>
      <c r="C81" t="s">
        <v>1547</v>
      </c>
      <c r="D81" s="15" t="s">
        <v>82</v>
      </c>
    </row>
    <row r="82" spans="1:4" hidden="1" x14ac:dyDescent="0.3">
      <c r="A82" s="22">
        <v>46050</v>
      </c>
      <c r="B82" t="s">
        <v>321</v>
      </c>
      <c r="D82" s="15" t="s">
        <v>82</v>
      </c>
    </row>
    <row r="83" spans="1:4" hidden="1" x14ac:dyDescent="0.3">
      <c r="A83" s="22">
        <v>46122</v>
      </c>
      <c r="B83" t="s">
        <v>1537</v>
      </c>
      <c r="C83" t="s">
        <v>1513</v>
      </c>
      <c r="D83" s="15" t="s">
        <v>82</v>
      </c>
    </row>
    <row r="84" spans="1:4" hidden="1" x14ac:dyDescent="0.3">
      <c r="A84" s="22">
        <v>46041</v>
      </c>
      <c r="B84" t="s">
        <v>1441</v>
      </c>
      <c r="C84" t="s">
        <v>209</v>
      </c>
      <c r="D84" s="15" t="s">
        <v>82</v>
      </c>
    </row>
    <row r="85" spans="1:4" hidden="1" x14ac:dyDescent="0.3">
      <c r="A85" s="22">
        <v>46062</v>
      </c>
      <c r="B85" t="s">
        <v>1441</v>
      </c>
      <c r="C85" t="s">
        <v>417</v>
      </c>
      <c r="D85" s="15" t="s">
        <v>82</v>
      </c>
    </row>
    <row r="86" spans="1:4" hidden="1" x14ac:dyDescent="0.3">
      <c r="A86" s="22">
        <v>46041</v>
      </c>
      <c r="B86" t="s">
        <v>1442</v>
      </c>
      <c r="C86" t="s">
        <v>208</v>
      </c>
      <c r="D86" s="15" t="s">
        <v>82</v>
      </c>
    </row>
    <row r="87" spans="1:4" hidden="1" x14ac:dyDescent="0.3">
      <c r="A87" s="22">
        <v>46071</v>
      </c>
      <c r="B87" t="s">
        <v>1443</v>
      </c>
      <c r="C87" t="s">
        <v>795</v>
      </c>
      <c r="D87" s="15" t="s">
        <v>82</v>
      </c>
    </row>
    <row r="88" spans="1:4" hidden="1" x14ac:dyDescent="0.3">
      <c r="A88" s="22">
        <v>46122</v>
      </c>
      <c r="B88" t="s">
        <v>1536</v>
      </c>
      <c r="C88" t="s">
        <v>1212</v>
      </c>
      <c r="D88" s="15" t="s">
        <v>82</v>
      </c>
    </row>
    <row r="89" spans="1:4" hidden="1" x14ac:dyDescent="0.3">
      <c r="A89" s="22">
        <v>46134</v>
      </c>
      <c r="B89" t="s">
        <v>1697</v>
      </c>
      <c r="C89" t="s">
        <v>1526</v>
      </c>
      <c r="D89" s="15" t="s">
        <v>82</v>
      </c>
    </row>
    <row r="90" spans="1:4" hidden="1" x14ac:dyDescent="0.3">
      <c r="A90" s="22">
        <v>46072</v>
      </c>
      <c r="B90" t="s">
        <v>1444</v>
      </c>
      <c r="C90" t="s">
        <v>796</v>
      </c>
      <c r="D90" s="15" t="s">
        <v>82</v>
      </c>
    </row>
    <row r="91" spans="1:4" hidden="1" x14ac:dyDescent="0.3">
      <c r="A91" s="22">
        <v>46076</v>
      </c>
      <c r="B91" t="s">
        <v>1444</v>
      </c>
      <c r="C91" t="s">
        <v>796</v>
      </c>
      <c r="D91" s="15" t="s">
        <v>82</v>
      </c>
    </row>
    <row r="92" spans="1:4" hidden="1" x14ac:dyDescent="0.3">
      <c r="A92" s="22">
        <v>46119</v>
      </c>
      <c r="B92" t="s">
        <v>1351</v>
      </c>
      <c r="C92" t="s">
        <v>1352</v>
      </c>
      <c r="D92" s="15" t="s">
        <v>82</v>
      </c>
    </row>
    <row r="93" spans="1:4" hidden="1" x14ac:dyDescent="0.3">
      <c r="A93" s="22">
        <v>46072</v>
      </c>
      <c r="B93" t="s">
        <v>1445</v>
      </c>
      <c r="C93" t="s">
        <v>803</v>
      </c>
      <c r="D93" s="15" t="s">
        <v>82</v>
      </c>
    </row>
    <row r="94" spans="1:4" hidden="1" x14ac:dyDescent="0.3">
      <c r="A94" s="22">
        <v>46064</v>
      </c>
      <c r="B94" t="s">
        <v>1446</v>
      </c>
      <c r="C94" t="s">
        <v>758</v>
      </c>
      <c r="D94" s="15" t="s">
        <v>82</v>
      </c>
    </row>
    <row r="95" spans="1:4" hidden="1" x14ac:dyDescent="0.3">
      <c r="A95" s="22">
        <v>46084</v>
      </c>
      <c r="B95" t="s">
        <v>1447</v>
      </c>
      <c r="C95" t="s">
        <v>912</v>
      </c>
      <c r="D95" s="15" t="s">
        <v>82</v>
      </c>
    </row>
    <row r="96" spans="1:4" hidden="1" x14ac:dyDescent="0.3">
      <c r="A96" s="22">
        <v>46085</v>
      </c>
      <c r="B96" t="s">
        <v>1448</v>
      </c>
      <c r="C96" t="s">
        <v>976</v>
      </c>
      <c r="D96" s="15" t="s">
        <v>82</v>
      </c>
    </row>
    <row r="97" spans="1:4" hidden="1" x14ac:dyDescent="0.3">
      <c r="A97" s="22">
        <v>46111</v>
      </c>
      <c r="B97" t="s">
        <v>1417</v>
      </c>
      <c r="C97" t="s">
        <v>1320</v>
      </c>
      <c r="D97" s="15" t="s">
        <v>82</v>
      </c>
    </row>
    <row r="98" spans="1:4" hidden="1" x14ac:dyDescent="0.3">
      <c r="A98" s="22">
        <v>46101</v>
      </c>
      <c r="B98" t="s">
        <v>1421</v>
      </c>
      <c r="C98" t="s">
        <v>1167</v>
      </c>
      <c r="D98" s="15" t="s">
        <v>82</v>
      </c>
    </row>
    <row r="99" spans="1:4" hidden="1" x14ac:dyDescent="0.3">
      <c r="A99" s="22">
        <v>46057</v>
      </c>
      <c r="B99" t="s">
        <v>1449</v>
      </c>
      <c r="C99" t="s">
        <v>353</v>
      </c>
      <c r="D99" s="15" t="s">
        <v>82</v>
      </c>
    </row>
    <row r="100" spans="1:4" hidden="1" x14ac:dyDescent="0.3">
      <c r="A100" s="22">
        <v>46073</v>
      </c>
      <c r="B100" t="s">
        <v>1449</v>
      </c>
      <c r="C100" t="s">
        <v>798</v>
      </c>
      <c r="D100" s="15" t="s">
        <v>82</v>
      </c>
    </row>
    <row r="101" spans="1:4" hidden="1" x14ac:dyDescent="0.3">
      <c r="A101" s="22">
        <v>46073</v>
      </c>
      <c r="B101" t="s">
        <v>1449</v>
      </c>
      <c r="C101" t="s">
        <v>828</v>
      </c>
      <c r="D101" s="15" t="s">
        <v>82</v>
      </c>
    </row>
    <row r="102" spans="1:4" hidden="1" x14ac:dyDescent="0.3">
      <c r="A102" s="22">
        <v>46084</v>
      </c>
      <c r="B102" t="s">
        <v>1449</v>
      </c>
      <c r="C102" t="s">
        <v>969</v>
      </c>
      <c r="D102" s="15" t="s">
        <v>82</v>
      </c>
    </row>
    <row r="103" spans="1:4" hidden="1" x14ac:dyDescent="0.3">
      <c r="A103" s="22">
        <v>46052</v>
      </c>
      <c r="B103" t="s">
        <v>1450</v>
      </c>
      <c r="D103" s="15" t="s">
        <v>82</v>
      </c>
    </row>
    <row r="104" spans="1:4" hidden="1" x14ac:dyDescent="0.3">
      <c r="A104" s="22">
        <v>46077</v>
      </c>
      <c r="B104" t="s">
        <v>1451</v>
      </c>
      <c r="C104" t="s">
        <v>826</v>
      </c>
      <c r="D104" s="15" t="s">
        <v>82</v>
      </c>
    </row>
    <row r="105" spans="1:4" hidden="1" x14ac:dyDescent="0.3">
      <c r="A105" s="22">
        <v>46044</v>
      </c>
      <c r="B105" t="s">
        <v>1452</v>
      </c>
      <c r="C105" t="s">
        <v>223</v>
      </c>
      <c r="D105" s="15" t="s">
        <v>82</v>
      </c>
    </row>
    <row r="106" spans="1:4" hidden="1" x14ac:dyDescent="0.3">
      <c r="A106" s="22">
        <v>46084</v>
      </c>
      <c r="B106" t="s">
        <v>1453</v>
      </c>
      <c r="C106" t="s">
        <v>965</v>
      </c>
      <c r="D106" s="15" t="s">
        <v>82</v>
      </c>
    </row>
    <row r="107" spans="1:4" hidden="1" x14ac:dyDescent="0.3">
      <c r="A107" s="22">
        <v>46106</v>
      </c>
      <c r="B107" t="s">
        <v>1412</v>
      </c>
      <c r="C107" t="s">
        <v>1190</v>
      </c>
      <c r="D107" s="15" t="s">
        <v>82</v>
      </c>
    </row>
    <row r="108" spans="1:4" hidden="1" x14ac:dyDescent="0.3">
      <c r="A108" s="22">
        <v>46101</v>
      </c>
      <c r="B108" t="s">
        <v>1422</v>
      </c>
      <c r="C108" t="s">
        <v>1152</v>
      </c>
      <c r="D108" s="15" t="s">
        <v>82</v>
      </c>
    </row>
    <row r="109" spans="1:4" hidden="1" x14ac:dyDescent="0.3">
      <c r="A109" s="22">
        <v>46101</v>
      </c>
      <c r="B109" t="s">
        <v>1422</v>
      </c>
      <c r="C109" t="s">
        <v>1152</v>
      </c>
      <c r="D109" s="15" t="s">
        <v>82</v>
      </c>
    </row>
    <row r="110" spans="1:4" hidden="1" x14ac:dyDescent="0.3">
      <c r="A110" s="22">
        <v>46051</v>
      </c>
      <c r="B110" t="s">
        <v>1454</v>
      </c>
      <c r="C110" t="s">
        <v>310</v>
      </c>
      <c r="D110" s="15" t="s">
        <v>82</v>
      </c>
    </row>
    <row r="111" spans="1:4" hidden="1" x14ac:dyDescent="0.3">
      <c r="A111" s="22">
        <v>46077</v>
      </c>
      <c r="B111" t="s">
        <v>1455</v>
      </c>
      <c r="C111" t="s">
        <v>818</v>
      </c>
      <c r="D111" s="15" t="s">
        <v>82</v>
      </c>
    </row>
    <row r="112" spans="1:4" hidden="1" x14ac:dyDescent="0.3">
      <c r="A112" s="22">
        <v>46009</v>
      </c>
      <c r="B112" t="s">
        <v>1456</v>
      </c>
      <c r="C112" t="s">
        <v>277</v>
      </c>
      <c r="D112" s="15" t="s">
        <v>82</v>
      </c>
    </row>
    <row r="113" spans="1:4" hidden="1" x14ac:dyDescent="0.3">
      <c r="A113" s="22">
        <v>46041</v>
      </c>
      <c r="B113" t="s">
        <v>1457</v>
      </c>
      <c r="C113" t="s">
        <v>118</v>
      </c>
      <c r="D113" s="15" t="s">
        <v>82</v>
      </c>
    </row>
    <row r="114" spans="1:4" hidden="1" x14ac:dyDescent="0.3">
      <c r="A114" s="22">
        <v>46106</v>
      </c>
      <c r="B114" t="s">
        <v>1353</v>
      </c>
      <c r="C114" t="s">
        <v>221</v>
      </c>
      <c r="D114" s="15" t="s">
        <v>82</v>
      </c>
    </row>
    <row r="115" spans="1:4" hidden="1" x14ac:dyDescent="0.3">
      <c r="A115" s="22">
        <v>46071</v>
      </c>
      <c r="B115" t="s">
        <v>1353</v>
      </c>
      <c r="C115" t="s">
        <v>789</v>
      </c>
      <c r="D115" s="15" t="s">
        <v>82</v>
      </c>
    </row>
    <row r="116" spans="1:4" hidden="1" x14ac:dyDescent="0.3">
      <c r="A116" s="22">
        <v>46119</v>
      </c>
      <c r="B116" t="s">
        <v>1353</v>
      </c>
      <c r="C116" t="s">
        <v>1354</v>
      </c>
      <c r="D116" s="15" t="s">
        <v>82</v>
      </c>
    </row>
    <row r="117" spans="1:4" hidden="1" x14ac:dyDescent="0.3">
      <c r="A117" s="22">
        <v>46035</v>
      </c>
      <c r="B117" t="s">
        <v>1458</v>
      </c>
      <c r="C117" t="s">
        <v>268</v>
      </c>
      <c r="D117" s="15" t="s">
        <v>82</v>
      </c>
    </row>
    <row r="118" spans="1:4" hidden="1" x14ac:dyDescent="0.3">
      <c r="A118" s="22">
        <v>46050</v>
      </c>
      <c r="B118" t="s">
        <v>314</v>
      </c>
      <c r="D118" s="15" t="s">
        <v>82</v>
      </c>
    </row>
    <row r="119" spans="1:4" hidden="1" x14ac:dyDescent="0.3">
      <c r="A119" s="22">
        <v>46038</v>
      </c>
      <c r="B119" t="s">
        <v>278</v>
      </c>
      <c r="C119" t="s">
        <v>269</v>
      </c>
      <c r="D119" s="15" t="s">
        <v>82</v>
      </c>
    </row>
    <row r="120" spans="1:4" hidden="1" x14ac:dyDescent="0.3">
      <c r="A120" s="22">
        <v>46008</v>
      </c>
      <c r="B120" t="s">
        <v>278</v>
      </c>
      <c r="C120" t="s">
        <v>276</v>
      </c>
      <c r="D120" s="15" t="s">
        <v>82</v>
      </c>
    </row>
    <row r="121" spans="1:4" hidden="1" x14ac:dyDescent="0.3">
      <c r="A121" s="22">
        <v>46055</v>
      </c>
      <c r="B121" t="s">
        <v>278</v>
      </c>
      <c r="C121" t="s">
        <v>329</v>
      </c>
      <c r="D121" s="15" t="s">
        <v>82</v>
      </c>
    </row>
    <row r="122" spans="1:4" hidden="1" x14ac:dyDescent="0.3">
      <c r="A122" s="22">
        <v>46119</v>
      </c>
      <c r="B122" t="s">
        <v>1355</v>
      </c>
      <c r="C122" t="s">
        <v>1356</v>
      </c>
      <c r="D122" s="15" t="s">
        <v>82</v>
      </c>
    </row>
    <row r="123" spans="1:4" hidden="1" x14ac:dyDescent="0.3">
      <c r="A123" s="22">
        <v>46129</v>
      </c>
      <c r="B123" t="s">
        <v>1653</v>
      </c>
      <c r="C123" t="s">
        <v>1654</v>
      </c>
      <c r="D123" s="15" t="s">
        <v>82</v>
      </c>
    </row>
    <row r="124" spans="1:4" hidden="1" x14ac:dyDescent="0.3">
      <c r="A124" s="22">
        <v>46052</v>
      </c>
      <c r="B124" t="s">
        <v>1459</v>
      </c>
      <c r="C124" t="s">
        <v>228</v>
      </c>
      <c r="D124" s="15" t="s">
        <v>82</v>
      </c>
    </row>
    <row r="125" spans="1:4" hidden="1" x14ac:dyDescent="0.3">
      <c r="A125" s="22">
        <v>46107</v>
      </c>
      <c r="B125" t="s">
        <v>1198</v>
      </c>
      <c r="C125" t="s">
        <v>1199</v>
      </c>
      <c r="D125" s="15" t="s">
        <v>82</v>
      </c>
    </row>
    <row r="126" spans="1:4" hidden="1" x14ac:dyDescent="0.3">
      <c r="A126" s="22">
        <v>46106</v>
      </c>
      <c r="B126" t="s">
        <v>1418</v>
      </c>
      <c r="C126" t="s">
        <v>1189</v>
      </c>
      <c r="D126" s="15" t="s">
        <v>82</v>
      </c>
    </row>
    <row r="127" spans="1:4" hidden="1" x14ac:dyDescent="0.3">
      <c r="A127" s="22">
        <v>46009</v>
      </c>
      <c r="B127" t="s">
        <v>1460</v>
      </c>
      <c r="C127" t="s">
        <v>270</v>
      </c>
      <c r="D127" s="15" t="s">
        <v>82</v>
      </c>
    </row>
    <row r="128" spans="1:4" hidden="1" x14ac:dyDescent="0.3">
      <c r="A128" s="22">
        <v>46035</v>
      </c>
      <c r="B128" t="s">
        <v>1460</v>
      </c>
      <c r="C128" t="s">
        <v>270</v>
      </c>
      <c r="D128" s="15" t="s">
        <v>82</v>
      </c>
    </row>
    <row r="129" spans="1:4" hidden="1" x14ac:dyDescent="0.3">
      <c r="A129" s="22">
        <v>46097</v>
      </c>
      <c r="B129" t="s">
        <v>1414</v>
      </c>
      <c r="C129" t="s">
        <v>1066</v>
      </c>
      <c r="D129" s="15" t="s">
        <v>82</v>
      </c>
    </row>
    <row r="130" spans="1:4" hidden="1" x14ac:dyDescent="0.3">
      <c r="A130" s="22">
        <v>46079</v>
      </c>
      <c r="B130" t="s">
        <v>1461</v>
      </c>
      <c r="C130" t="s">
        <v>913</v>
      </c>
      <c r="D130" s="15" t="s">
        <v>82</v>
      </c>
    </row>
    <row r="131" spans="1:4" hidden="1" x14ac:dyDescent="0.3">
      <c r="A131" s="22">
        <v>46080</v>
      </c>
      <c r="B131" t="s">
        <v>1461</v>
      </c>
      <c r="C131" t="s">
        <v>942</v>
      </c>
      <c r="D131" s="15" t="s">
        <v>82</v>
      </c>
    </row>
    <row r="132" spans="1:4" hidden="1" x14ac:dyDescent="0.3">
      <c r="A132" s="22">
        <v>46071</v>
      </c>
      <c r="B132" t="s">
        <v>1462</v>
      </c>
      <c r="C132" t="s">
        <v>225</v>
      </c>
      <c r="D132" s="15" t="s">
        <v>82</v>
      </c>
    </row>
    <row r="133" spans="1:4" hidden="1" x14ac:dyDescent="0.3">
      <c r="A133" s="22">
        <v>46051</v>
      </c>
      <c r="B133" t="s">
        <v>1462</v>
      </c>
      <c r="C133" t="s">
        <v>298</v>
      </c>
      <c r="D133" s="15" t="s">
        <v>82</v>
      </c>
    </row>
    <row r="134" spans="1:4" hidden="1" x14ac:dyDescent="0.3">
      <c r="A134" s="22">
        <v>46050</v>
      </c>
      <c r="B134" t="s">
        <v>1463</v>
      </c>
      <c r="C134" t="s">
        <v>313</v>
      </c>
      <c r="D134" s="15" t="s">
        <v>82</v>
      </c>
    </row>
    <row r="135" spans="1:4" hidden="1" x14ac:dyDescent="0.3">
      <c r="A135" s="22">
        <v>46052</v>
      </c>
      <c r="B135" t="s">
        <v>1463</v>
      </c>
      <c r="C135" t="s">
        <v>313</v>
      </c>
      <c r="D135" s="15" t="s">
        <v>82</v>
      </c>
    </row>
    <row r="136" spans="1:4" hidden="1" x14ac:dyDescent="0.3">
      <c r="A136" s="22">
        <v>46080</v>
      </c>
      <c r="B136" t="s">
        <v>1464</v>
      </c>
      <c r="C136" t="s">
        <v>945</v>
      </c>
      <c r="D136" s="15" t="s">
        <v>82</v>
      </c>
    </row>
    <row r="137" spans="1:4" hidden="1" x14ac:dyDescent="0.3">
      <c r="A137" s="22">
        <v>46132</v>
      </c>
      <c r="B137" t="s">
        <v>1692</v>
      </c>
      <c r="C137" t="s">
        <v>1691</v>
      </c>
      <c r="D137" s="15" t="s">
        <v>82</v>
      </c>
    </row>
    <row r="138" spans="1:4" hidden="1" x14ac:dyDescent="0.3">
      <c r="A138" s="22">
        <v>46065</v>
      </c>
      <c r="B138" t="s">
        <v>1465</v>
      </c>
      <c r="C138" t="s">
        <v>765</v>
      </c>
      <c r="D138" s="15" t="s">
        <v>82</v>
      </c>
    </row>
    <row r="139" spans="1:4" hidden="1" x14ac:dyDescent="0.3">
      <c r="A139" s="22">
        <v>46066</v>
      </c>
      <c r="B139" t="s">
        <v>1466</v>
      </c>
      <c r="C139" t="s">
        <v>782</v>
      </c>
      <c r="D139" s="15" t="s">
        <v>82</v>
      </c>
    </row>
    <row r="140" spans="1:4" hidden="1" x14ac:dyDescent="0.3">
      <c r="A140" s="22">
        <v>46008</v>
      </c>
      <c r="B140" t="s">
        <v>1467</v>
      </c>
      <c r="C140" t="s">
        <v>271</v>
      </c>
      <c r="D140" s="15" t="s">
        <v>82</v>
      </c>
    </row>
    <row r="141" spans="1:4" hidden="1" x14ac:dyDescent="0.3">
      <c r="A141" s="22">
        <v>46134</v>
      </c>
      <c r="B141" t="s">
        <v>1696</v>
      </c>
      <c r="C141" t="s">
        <v>1617</v>
      </c>
      <c r="D141" s="15" t="s">
        <v>82</v>
      </c>
    </row>
    <row r="142" spans="1:4" hidden="1" x14ac:dyDescent="0.3">
      <c r="A142" s="22">
        <v>46055</v>
      </c>
      <c r="B142" t="s">
        <v>1468</v>
      </c>
      <c r="C142" t="s">
        <v>216</v>
      </c>
      <c r="D142" s="15" t="s">
        <v>82</v>
      </c>
    </row>
    <row r="143" spans="1:4" hidden="1" x14ac:dyDescent="0.3">
      <c r="A143" s="22">
        <v>46101</v>
      </c>
      <c r="B143" t="s">
        <v>1482</v>
      </c>
      <c r="C143" t="s">
        <v>1165</v>
      </c>
      <c r="D143" s="15" t="s">
        <v>82</v>
      </c>
    </row>
    <row r="144" spans="1:4" hidden="1" x14ac:dyDescent="0.3">
      <c r="A144" s="22">
        <v>46064</v>
      </c>
      <c r="B144" t="s">
        <v>755</v>
      </c>
      <c r="C144" t="s">
        <v>101</v>
      </c>
      <c r="D144" s="15" t="s">
        <v>82</v>
      </c>
    </row>
    <row r="145" spans="1:4" hidden="1" x14ac:dyDescent="0.3">
      <c r="A145" s="22">
        <v>46101</v>
      </c>
      <c r="B145" t="s">
        <v>1415</v>
      </c>
      <c r="C145" t="s">
        <v>1164</v>
      </c>
      <c r="D145" s="15" t="s">
        <v>82</v>
      </c>
    </row>
    <row r="146" spans="1:4" hidden="1" x14ac:dyDescent="0.3">
      <c r="A146" s="22">
        <v>46112</v>
      </c>
      <c r="B146" t="s">
        <v>1330</v>
      </c>
      <c r="C146" t="s">
        <v>851</v>
      </c>
      <c r="D146" s="15" t="s">
        <v>82</v>
      </c>
    </row>
    <row r="147" spans="1:4" hidden="1" x14ac:dyDescent="0.3">
      <c r="A147" s="22">
        <v>46055</v>
      </c>
      <c r="B147" t="s">
        <v>1469</v>
      </c>
      <c r="C147" t="s">
        <v>265</v>
      </c>
      <c r="D147" s="15" t="s">
        <v>82</v>
      </c>
    </row>
    <row r="148" spans="1:4" hidden="1" x14ac:dyDescent="0.3">
      <c r="A148" s="22">
        <v>46094</v>
      </c>
      <c r="B148" t="s">
        <v>1413</v>
      </c>
      <c r="C148" t="s">
        <v>779</v>
      </c>
      <c r="D148" s="15" t="s">
        <v>82</v>
      </c>
    </row>
    <row r="149" spans="1:4" hidden="1" x14ac:dyDescent="0.3">
      <c r="A149" s="22">
        <v>46101</v>
      </c>
      <c r="B149" t="s">
        <v>1413</v>
      </c>
      <c r="C149" t="s">
        <v>780</v>
      </c>
      <c r="D149" s="15" t="s">
        <v>82</v>
      </c>
    </row>
    <row r="150" spans="1:4" hidden="1" x14ac:dyDescent="0.3">
      <c r="A150" s="22">
        <v>46035</v>
      </c>
      <c r="B150" t="s">
        <v>1470</v>
      </c>
      <c r="C150" t="s">
        <v>272</v>
      </c>
      <c r="D150" s="15" t="s">
        <v>82</v>
      </c>
    </row>
    <row r="151" spans="1:4" hidden="1" x14ac:dyDescent="0.3">
      <c r="A151" s="22">
        <v>46008</v>
      </c>
      <c r="B151" t="s">
        <v>1471</v>
      </c>
      <c r="C151" t="s">
        <v>273</v>
      </c>
      <c r="D151" s="15" t="s">
        <v>82</v>
      </c>
    </row>
    <row r="152" spans="1:4" hidden="1" x14ac:dyDescent="0.3">
      <c r="A152" s="22">
        <v>46009</v>
      </c>
      <c r="B152" t="s">
        <v>1472</v>
      </c>
      <c r="C152" t="s">
        <v>105</v>
      </c>
      <c r="D152" s="15" t="s">
        <v>82</v>
      </c>
    </row>
    <row r="153" spans="1:4" hidden="1" x14ac:dyDescent="0.3">
      <c r="A153" s="22">
        <v>46066</v>
      </c>
      <c r="B153" t="s">
        <v>1473</v>
      </c>
      <c r="C153" t="s">
        <v>774</v>
      </c>
      <c r="D153" s="15" t="s">
        <v>82</v>
      </c>
    </row>
    <row r="154" spans="1:4" hidden="1" x14ac:dyDescent="0.3">
      <c r="A154" s="22">
        <v>46055</v>
      </c>
      <c r="B154" t="s">
        <v>1474</v>
      </c>
      <c r="C154" t="s">
        <v>217</v>
      </c>
      <c r="D154" s="15" t="s">
        <v>82</v>
      </c>
    </row>
    <row r="155" spans="1:4" hidden="1" x14ac:dyDescent="0.3">
      <c r="A155" s="22">
        <v>46098</v>
      </c>
      <c r="B155" t="s">
        <v>1423</v>
      </c>
      <c r="C155" t="s">
        <v>1092</v>
      </c>
      <c r="D155" s="15" t="s">
        <v>82</v>
      </c>
    </row>
    <row r="156" spans="1:4" hidden="1" x14ac:dyDescent="0.3">
      <c r="A156" s="22">
        <v>46128</v>
      </c>
      <c r="B156" t="s">
        <v>1627</v>
      </c>
      <c r="C156" t="s">
        <v>344</v>
      </c>
      <c r="D156" s="15" t="s">
        <v>82</v>
      </c>
    </row>
    <row r="157" spans="1:4" hidden="1" x14ac:dyDescent="0.3">
      <c r="A157" s="22">
        <v>46128</v>
      </c>
      <c r="B157" t="s">
        <v>1628</v>
      </c>
      <c r="C157" t="s">
        <v>1630</v>
      </c>
      <c r="D157" s="15" t="s">
        <v>82</v>
      </c>
    </row>
    <row r="158" spans="1:4" hidden="1" x14ac:dyDescent="0.3">
      <c r="A158" s="22">
        <v>46128</v>
      </c>
      <c r="B158" t="s">
        <v>1628</v>
      </c>
      <c r="C158" t="s">
        <v>1629</v>
      </c>
      <c r="D158" s="15" t="s">
        <v>82</v>
      </c>
    </row>
    <row r="159" spans="1:4" hidden="1" x14ac:dyDescent="0.3">
      <c r="A159" s="22">
        <v>46072</v>
      </c>
      <c r="B159" t="s">
        <v>1475</v>
      </c>
      <c r="C159" t="s">
        <v>827</v>
      </c>
      <c r="D159" s="15" t="s">
        <v>82</v>
      </c>
    </row>
    <row r="160" spans="1:4" hidden="1" x14ac:dyDescent="0.3">
      <c r="A160" s="22">
        <v>46107</v>
      </c>
      <c r="B160" t="s">
        <v>1196</v>
      </c>
      <c r="C160" t="s">
        <v>1197</v>
      </c>
      <c r="D160" s="15" t="s">
        <v>82</v>
      </c>
    </row>
    <row r="161" spans="1:4" hidden="1" x14ac:dyDescent="0.3">
      <c r="A161" s="22">
        <v>46100</v>
      </c>
      <c r="B161" t="s">
        <v>1196</v>
      </c>
      <c r="C161" t="s">
        <v>781</v>
      </c>
      <c r="D161" s="15" t="s">
        <v>82</v>
      </c>
    </row>
    <row r="162" spans="1:4" hidden="1" x14ac:dyDescent="0.3">
      <c r="A162" s="22">
        <v>46100</v>
      </c>
      <c r="B162" t="s">
        <v>1196</v>
      </c>
      <c r="C162" t="s">
        <v>1145</v>
      </c>
      <c r="D162" s="15" t="s">
        <v>82</v>
      </c>
    </row>
    <row r="163" spans="1:4" hidden="1" x14ac:dyDescent="0.3">
      <c r="A163" s="22">
        <v>46009</v>
      </c>
      <c r="B163" t="s">
        <v>1476</v>
      </c>
      <c r="C163" t="s">
        <v>274</v>
      </c>
      <c r="D163" s="15" t="s">
        <v>82</v>
      </c>
    </row>
    <row r="164" spans="1:4" hidden="1" x14ac:dyDescent="0.3">
      <c r="A164" s="22">
        <v>46100</v>
      </c>
      <c r="B164" t="s">
        <v>1424</v>
      </c>
      <c r="C164" t="s">
        <v>1151</v>
      </c>
      <c r="D164" s="15" t="s">
        <v>82</v>
      </c>
    </row>
    <row r="165" spans="1:4" hidden="1" x14ac:dyDescent="0.3">
      <c r="A165" s="22">
        <v>46120</v>
      </c>
      <c r="B165" t="s">
        <v>1501</v>
      </c>
      <c r="C165" t="s">
        <v>1502</v>
      </c>
      <c r="D165" s="15" t="s">
        <v>82</v>
      </c>
    </row>
    <row r="166" spans="1:4" hidden="1" x14ac:dyDescent="0.3">
      <c r="A166" s="22">
        <v>46126</v>
      </c>
      <c r="B166" t="s">
        <v>1554</v>
      </c>
      <c r="C166" t="s">
        <v>1203</v>
      </c>
      <c r="D166" s="15" t="s">
        <v>82</v>
      </c>
    </row>
    <row r="167" spans="1:4" hidden="1" x14ac:dyDescent="0.3">
      <c r="A167" s="22">
        <v>46085</v>
      </c>
      <c r="B167" t="s">
        <v>1477</v>
      </c>
      <c r="C167" t="s">
        <v>971</v>
      </c>
      <c r="D167" s="15" t="s">
        <v>82</v>
      </c>
    </row>
    <row r="168" spans="1:4" hidden="1" x14ac:dyDescent="0.3">
      <c r="A168" s="22">
        <v>46128</v>
      </c>
      <c r="B168" t="s">
        <v>1623</v>
      </c>
      <c r="C168" t="s">
        <v>155</v>
      </c>
      <c r="D168" s="15" t="s">
        <v>82</v>
      </c>
    </row>
    <row r="169" spans="1:4" hidden="1" x14ac:dyDescent="0.3">
      <c r="A169" s="22">
        <v>46128</v>
      </c>
      <c r="B169" t="s">
        <v>1623</v>
      </c>
      <c r="C169" t="s">
        <v>1658</v>
      </c>
      <c r="D169" s="15" t="s">
        <v>82</v>
      </c>
    </row>
    <row r="170" spans="1:4" hidden="1" x14ac:dyDescent="0.3">
      <c r="A170" s="22">
        <v>46128</v>
      </c>
      <c r="B170" t="s">
        <v>1623</v>
      </c>
      <c r="C170" t="s">
        <v>1659</v>
      </c>
      <c r="D170" s="15" t="s">
        <v>82</v>
      </c>
    </row>
    <row r="171" spans="1:4" hidden="1" x14ac:dyDescent="0.3">
      <c r="A171" s="22">
        <v>46128</v>
      </c>
      <c r="B171" t="s">
        <v>1623</v>
      </c>
      <c r="C171" t="s">
        <v>1660</v>
      </c>
      <c r="D171" s="15" t="s">
        <v>82</v>
      </c>
    </row>
    <row r="172" spans="1:4" hidden="1" x14ac:dyDescent="0.3">
      <c r="A172" s="22">
        <v>46128</v>
      </c>
      <c r="B172" t="s">
        <v>1623</v>
      </c>
      <c r="C172" t="s">
        <v>1661</v>
      </c>
      <c r="D172" s="15" t="s">
        <v>82</v>
      </c>
    </row>
    <row r="173" spans="1:4" hidden="1" x14ac:dyDescent="0.3">
      <c r="A173" s="22">
        <v>46128</v>
      </c>
      <c r="B173" t="s">
        <v>1623</v>
      </c>
      <c r="C173" t="s">
        <v>1662</v>
      </c>
      <c r="D173" s="15" t="s">
        <v>82</v>
      </c>
    </row>
    <row r="174" spans="1:4" hidden="1" x14ac:dyDescent="0.3">
      <c r="A174" s="22">
        <v>46128</v>
      </c>
      <c r="B174" t="s">
        <v>1623</v>
      </c>
      <c r="C174" t="s">
        <v>1663</v>
      </c>
      <c r="D174" s="15" t="s">
        <v>82</v>
      </c>
    </row>
    <row r="175" spans="1:4" hidden="1" x14ac:dyDescent="0.3">
      <c r="A175" s="22">
        <v>46128</v>
      </c>
      <c r="B175" t="s">
        <v>1623</v>
      </c>
      <c r="C175" t="s">
        <v>1664</v>
      </c>
      <c r="D175" s="15" t="s">
        <v>82</v>
      </c>
    </row>
    <row r="176" spans="1:4" hidden="1" x14ac:dyDescent="0.3">
      <c r="A176" s="22">
        <v>46128</v>
      </c>
      <c r="B176" t="s">
        <v>1623</v>
      </c>
      <c r="C176" t="s">
        <v>1665</v>
      </c>
      <c r="D176" s="15" t="s">
        <v>82</v>
      </c>
    </row>
    <row r="177" spans="1:4" hidden="1" x14ac:dyDescent="0.3">
      <c r="A177" s="22">
        <v>46128</v>
      </c>
      <c r="B177" t="s">
        <v>1623</v>
      </c>
      <c r="C177" t="s">
        <v>1666</v>
      </c>
      <c r="D177" s="15" t="s">
        <v>82</v>
      </c>
    </row>
    <row r="178" spans="1:4" hidden="1" x14ac:dyDescent="0.3">
      <c r="A178" s="22">
        <v>46009</v>
      </c>
      <c r="B178" t="s">
        <v>1478</v>
      </c>
      <c r="C178" t="s">
        <v>275</v>
      </c>
      <c r="D178" s="15" t="s">
        <v>82</v>
      </c>
    </row>
    <row r="179" spans="1:4" hidden="1" x14ac:dyDescent="0.3">
      <c r="A179" s="22">
        <v>46098</v>
      </c>
      <c r="B179" t="s">
        <v>1425</v>
      </c>
      <c r="C179" t="s">
        <v>1091</v>
      </c>
      <c r="D179" s="15" t="s">
        <v>82</v>
      </c>
    </row>
    <row r="180" spans="1:4" hidden="1" x14ac:dyDescent="0.3">
      <c r="A180" s="22">
        <v>46122</v>
      </c>
      <c r="B180" t="s">
        <v>1525</v>
      </c>
      <c r="C180" t="s">
        <v>414</v>
      </c>
      <c r="D180" s="15" t="s">
        <v>82</v>
      </c>
    </row>
    <row r="181" spans="1:4" hidden="1" x14ac:dyDescent="0.3">
      <c r="A181" s="22">
        <v>46098</v>
      </c>
      <c r="B181" t="s">
        <v>1426</v>
      </c>
      <c r="C181" t="s">
        <v>1090</v>
      </c>
      <c r="D181" s="15" t="s">
        <v>82</v>
      </c>
    </row>
    <row r="182" spans="1:4" hidden="1" x14ac:dyDescent="0.3">
      <c r="A182" s="22">
        <v>46120</v>
      </c>
      <c r="B182" t="s">
        <v>1408</v>
      </c>
      <c r="C182" t="s">
        <v>1409</v>
      </c>
      <c r="D182" s="15" t="s">
        <v>82</v>
      </c>
    </row>
    <row r="183" spans="1:4" hidden="1" x14ac:dyDescent="0.3">
      <c r="A183" s="22">
        <v>46072</v>
      </c>
      <c r="B183" t="s">
        <v>1479</v>
      </c>
      <c r="C183" t="s">
        <v>802</v>
      </c>
      <c r="D183" s="15" t="s">
        <v>82</v>
      </c>
    </row>
    <row r="184" spans="1:4" hidden="1" x14ac:dyDescent="0.3">
      <c r="A184" s="22">
        <v>46097</v>
      </c>
      <c r="B184" t="s">
        <v>1416</v>
      </c>
      <c r="C184" t="s">
        <v>1075</v>
      </c>
      <c r="D184" s="15" t="s">
        <v>82</v>
      </c>
    </row>
    <row r="185" spans="1:4" hidden="1" x14ac:dyDescent="0.3">
      <c r="A185" s="22">
        <v>46097</v>
      </c>
      <c r="B185" t="s">
        <v>1416</v>
      </c>
      <c r="C185" t="s">
        <v>1075</v>
      </c>
      <c r="D185" s="15" t="s">
        <v>82</v>
      </c>
    </row>
    <row r="186" spans="1:4" hidden="1" x14ac:dyDescent="0.3">
      <c r="A186" s="22">
        <v>46080</v>
      </c>
      <c r="B186" t="s">
        <v>1480</v>
      </c>
      <c r="C186" t="s">
        <v>948</v>
      </c>
      <c r="D186" s="15" t="s">
        <v>82</v>
      </c>
    </row>
    <row r="187" spans="1:4" hidden="1" x14ac:dyDescent="0.3">
      <c r="A187" s="22">
        <v>46120</v>
      </c>
      <c r="B187" t="s">
        <v>1514</v>
      </c>
      <c r="C187" t="s">
        <v>1511</v>
      </c>
      <c r="D187" s="15" t="s">
        <v>82</v>
      </c>
    </row>
    <row r="188" spans="1:4" hidden="1" x14ac:dyDescent="0.3">
      <c r="A188" s="22">
        <v>46073</v>
      </c>
      <c r="B188" t="s">
        <v>1481</v>
      </c>
      <c r="C188" t="s">
        <v>339</v>
      </c>
      <c r="D188" s="15" t="s">
        <v>82</v>
      </c>
    </row>
    <row r="189" spans="1:4" hidden="1" x14ac:dyDescent="0.3">
      <c r="A189" s="22">
        <v>46073</v>
      </c>
      <c r="B189" t="s">
        <v>1481</v>
      </c>
      <c r="C189" t="s">
        <v>340</v>
      </c>
      <c r="D189" s="15" t="s">
        <v>82</v>
      </c>
    </row>
    <row r="190" spans="1:4" hidden="1" x14ac:dyDescent="0.3">
      <c r="A190" s="22">
        <v>46076</v>
      </c>
      <c r="B190" t="s">
        <v>854</v>
      </c>
      <c r="C190" t="s">
        <v>855</v>
      </c>
      <c r="D190" s="15" t="s">
        <v>82</v>
      </c>
    </row>
    <row r="191" spans="1:4" hidden="1" x14ac:dyDescent="0.3">
      <c r="A191" s="22">
        <v>46104</v>
      </c>
      <c r="B191" t="s">
        <v>1175</v>
      </c>
      <c r="C191" t="s">
        <v>1167</v>
      </c>
      <c r="D191" s="15" t="s">
        <v>82</v>
      </c>
    </row>
    <row r="192" spans="1:4" hidden="1" x14ac:dyDescent="0.3">
      <c r="A192" s="22">
        <v>46106</v>
      </c>
      <c r="B192" t="s">
        <v>1193</v>
      </c>
      <c r="C192" t="s">
        <v>1190</v>
      </c>
      <c r="D192" s="15" t="s">
        <v>82</v>
      </c>
    </row>
    <row r="193" spans="1:4" hidden="1" x14ac:dyDescent="0.3">
      <c r="A193" s="22">
        <v>46077</v>
      </c>
      <c r="B193" t="s">
        <v>1493</v>
      </c>
      <c r="C193" t="s">
        <v>851</v>
      </c>
      <c r="D193" s="15" t="s">
        <v>82</v>
      </c>
    </row>
    <row r="194" spans="1:4" hidden="1" x14ac:dyDescent="0.3">
      <c r="A194" s="22">
        <v>46100</v>
      </c>
      <c r="B194" t="s">
        <v>1494</v>
      </c>
      <c r="C194" t="s">
        <v>1151</v>
      </c>
      <c r="D194" s="15" t="s">
        <v>82</v>
      </c>
    </row>
    <row r="195" spans="1:4" hidden="1" x14ac:dyDescent="0.3">
      <c r="A195" s="22">
        <v>46090</v>
      </c>
      <c r="B195" t="s">
        <v>1495</v>
      </c>
      <c r="C195" t="s">
        <v>975</v>
      </c>
      <c r="D195" s="15" t="s">
        <v>82</v>
      </c>
    </row>
    <row r="196" spans="1:4" hidden="1" x14ac:dyDescent="0.3">
      <c r="A196" s="22">
        <v>46126</v>
      </c>
      <c r="B196" t="s">
        <v>1550</v>
      </c>
      <c r="C196" t="s">
        <v>1065</v>
      </c>
      <c r="D196" s="15" t="s">
        <v>82</v>
      </c>
    </row>
    <row r="197" spans="1:4" hidden="1" x14ac:dyDescent="0.3">
      <c r="A197" s="22">
        <v>46126</v>
      </c>
      <c r="B197" t="s">
        <v>1549</v>
      </c>
      <c r="C197" t="s">
        <v>1212</v>
      </c>
      <c r="D197" s="15" t="s">
        <v>82</v>
      </c>
    </row>
    <row r="198" spans="1:4" hidden="1" x14ac:dyDescent="0.3">
      <c r="A198" s="22">
        <v>46126</v>
      </c>
      <c r="B198" t="s">
        <v>1552</v>
      </c>
      <c r="C198" t="s">
        <v>1177</v>
      </c>
      <c r="D198" s="15" t="s">
        <v>82</v>
      </c>
    </row>
    <row r="199" spans="1:4" hidden="1" x14ac:dyDescent="0.3">
      <c r="A199" s="22">
        <v>46126</v>
      </c>
      <c r="B199" t="s">
        <v>1552</v>
      </c>
      <c r="C199" t="s">
        <v>1177</v>
      </c>
      <c r="D199" s="15" t="s">
        <v>82</v>
      </c>
    </row>
    <row r="200" spans="1:4" hidden="1" x14ac:dyDescent="0.3">
      <c r="A200" s="22">
        <v>46126</v>
      </c>
      <c r="B200" t="s">
        <v>1557</v>
      </c>
      <c r="C200" t="s">
        <v>1177</v>
      </c>
      <c r="D200" s="15" t="s">
        <v>82</v>
      </c>
    </row>
    <row r="201" spans="1:4" hidden="1" x14ac:dyDescent="0.3">
      <c r="A201" s="22">
        <v>46126</v>
      </c>
      <c r="B201" t="s">
        <v>1551</v>
      </c>
      <c r="C201" t="s">
        <v>1409</v>
      </c>
      <c r="D201" s="15" t="s">
        <v>82</v>
      </c>
    </row>
    <row r="202" spans="1:4" hidden="1" x14ac:dyDescent="0.3">
      <c r="A202" s="22">
        <v>46038</v>
      </c>
      <c r="B202" t="s">
        <v>183</v>
      </c>
      <c r="C202" t="s">
        <v>206</v>
      </c>
      <c r="D202" s="15" t="s">
        <v>82</v>
      </c>
    </row>
    <row r="203" spans="1:4" hidden="1" x14ac:dyDescent="0.3">
      <c r="A203" s="22">
        <v>46129</v>
      </c>
      <c r="B203" t="s">
        <v>1730</v>
      </c>
      <c r="C203" t="s">
        <v>1657</v>
      </c>
      <c r="D203" s="15" t="s">
        <v>82</v>
      </c>
    </row>
    <row r="204" spans="1:4" hidden="1" x14ac:dyDescent="0.3">
      <c r="A204" s="22">
        <v>46038</v>
      </c>
      <c r="B204" t="s">
        <v>193</v>
      </c>
      <c r="D204" s="15" t="s">
        <v>82</v>
      </c>
    </row>
    <row r="205" spans="1:4" hidden="1" x14ac:dyDescent="0.3">
      <c r="A205" s="22">
        <v>46050</v>
      </c>
      <c r="B205" t="s">
        <v>300</v>
      </c>
      <c r="D205" s="15" t="s">
        <v>82</v>
      </c>
    </row>
    <row r="206" spans="1:4" hidden="1" x14ac:dyDescent="0.3">
      <c r="A206" s="22">
        <v>46072</v>
      </c>
      <c r="B206" t="s">
        <v>814</v>
      </c>
      <c r="D206" s="15" t="s">
        <v>82</v>
      </c>
    </row>
    <row r="207" spans="1:4" hidden="1" x14ac:dyDescent="0.3">
      <c r="A207" s="22">
        <v>46078</v>
      </c>
      <c r="B207" t="s">
        <v>814</v>
      </c>
      <c r="D207" s="15" t="s">
        <v>82</v>
      </c>
    </row>
    <row r="208" spans="1:4" hidden="1" x14ac:dyDescent="0.3">
      <c r="A208" s="22">
        <v>46009</v>
      </c>
      <c r="B208" t="s">
        <v>92</v>
      </c>
      <c r="D208" s="15" t="s">
        <v>82</v>
      </c>
    </row>
    <row r="209" spans="1:4" hidden="1" x14ac:dyDescent="0.3">
      <c r="A209" s="22">
        <v>46038</v>
      </c>
      <c r="B209" t="s">
        <v>191</v>
      </c>
      <c r="C209" t="s">
        <v>188</v>
      </c>
      <c r="D209" s="15" t="s">
        <v>82</v>
      </c>
    </row>
    <row r="210" spans="1:4" hidden="1" x14ac:dyDescent="0.3">
      <c r="A210" s="22">
        <v>46038</v>
      </c>
      <c r="B210" t="s">
        <v>190</v>
      </c>
      <c r="C210" t="s">
        <v>188</v>
      </c>
      <c r="D210" s="15" t="s">
        <v>82</v>
      </c>
    </row>
    <row r="211" spans="1:4" hidden="1" x14ac:dyDescent="0.3">
      <c r="A211" s="22">
        <v>46038</v>
      </c>
      <c r="B211" t="s">
        <v>192</v>
      </c>
      <c r="C211" t="s">
        <v>188</v>
      </c>
      <c r="D211" s="15" t="s">
        <v>82</v>
      </c>
    </row>
    <row r="212" spans="1:4" hidden="1" x14ac:dyDescent="0.3">
      <c r="A212" s="22">
        <v>46038</v>
      </c>
      <c r="B212" t="s">
        <v>196</v>
      </c>
      <c r="C212" t="s">
        <v>188</v>
      </c>
      <c r="D212" s="15" t="s">
        <v>82</v>
      </c>
    </row>
    <row r="213" spans="1:4" hidden="1" x14ac:dyDescent="0.3">
      <c r="A213" s="22">
        <v>46038</v>
      </c>
      <c r="B213" t="s">
        <v>195</v>
      </c>
      <c r="D213" s="15" t="s">
        <v>82</v>
      </c>
    </row>
    <row r="214" spans="1:4" hidden="1" x14ac:dyDescent="0.3">
      <c r="A214" s="22">
        <v>46052</v>
      </c>
      <c r="B214" t="s">
        <v>335</v>
      </c>
      <c r="D214" s="15" t="s">
        <v>82</v>
      </c>
    </row>
    <row r="215" spans="1:4" hidden="1" x14ac:dyDescent="0.3">
      <c r="A215" s="22">
        <v>46007</v>
      </c>
      <c r="B215" t="s">
        <v>81</v>
      </c>
      <c r="D215" s="15" t="s">
        <v>82</v>
      </c>
    </row>
    <row r="216" spans="1:4" hidden="1" x14ac:dyDescent="0.3">
      <c r="A216" s="22">
        <v>46038</v>
      </c>
      <c r="B216" t="s">
        <v>198</v>
      </c>
      <c r="D216" s="15" t="s">
        <v>82</v>
      </c>
    </row>
    <row r="217" spans="1:4" hidden="1" x14ac:dyDescent="0.3">
      <c r="A217" s="22">
        <v>46038</v>
      </c>
      <c r="B217" t="s">
        <v>194</v>
      </c>
      <c r="D217" s="15" t="s">
        <v>82</v>
      </c>
    </row>
    <row r="218" spans="1:4" hidden="1" x14ac:dyDescent="0.3">
      <c r="A218" s="22">
        <v>46076</v>
      </c>
      <c r="B218" t="s">
        <v>845</v>
      </c>
      <c r="C218" t="s">
        <v>846</v>
      </c>
      <c r="D218" s="15" t="s">
        <v>82</v>
      </c>
    </row>
    <row r="219" spans="1:4" hidden="1" x14ac:dyDescent="0.3">
      <c r="A219" s="22">
        <v>46077</v>
      </c>
      <c r="B219" t="s">
        <v>861</v>
      </c>
      <c r="D219" s="15" t="s">
        <v>82</v>
      </c>
    </row>
    <row r="220" spans="1:4" hidden="1" x14ac:dyDescent="0.3">
      <c r="A220" s="22">
        <v>46120</v>
      </c>
      <c r="B220" t="s">
        <v>1499</v>
      </c>
      <c r="C220" t="s">
        <v>1512</v>
      </c>
      <c r="D220" s="15" t="s">
        <v>82</v>
      </c>
    </row>
    <row r="221" spans="1:4" hidden="1" x14ac:dyDescent="0.3">
      <c r="A221" s="22">
        <v>46077</v>
      </c>
      <c r="B221" t="s">
        <v>879</v>
      </c>
      <c r="C221" t="s">
        <v>887</v>
      </c>
      <c r="D221" s="15" t="s">
        <v>82</v>
      </c>
    </row>
    <row r="222" spans="1:4" hidden="1" x14ac:dyDescent="0.3">
      <c r="A222" s="22">
        <v>46129</v>
      </c>
      <c r="B222" t="s">
        <v>1646</v>
      </c>
      <c r="C222" t="s">
        <v>1656</v>
      </c>
      <c r="D222" s="15" t="s">
        <v>82</v>
      </c>
    </row>
    <row r="223" spans="1:4" hidden="1" x14ac:dyDescent="0.3">
      <c r="A223" s="22">
        <v>46119</v>
      </c>
      <c r="B223" t="s">
        <v>1372</v>
      </c>
      <c r="C223" t="s">
        <v>1373</v>
      </c>
      <c r="D223" s="15" t="s">
        <v>82</v>
      </c>
    </row>
    <row r="224" spans="1:4" hidden="1" x14ac:dyDescent="0.3">
      <c r="A224" s="22">
        <v>46092</v>
      </c>
      <c r="B224" t="s">
        <v>1064</v>
      </c>
      <c r="C224" t="s">
        <v>1063</v>
      </c>
      <c r="D224" s="15" t="s">
        <v>82</v>
      </c>
    </row>
    <row r="225" spans="1:4" hidden="1" x14ac:dyDescent="0.3">
      <c r="A225" s="22">
        <v>46092</v>
      </c>
      <c r="B225" t="s">
        <v>1064</v>
      </c>
      <c r="C225" t="s">
        <v>1065</v>
      </c>
      <c r="D225" s="15" t="s">
        <v>82</v>
      </c>
    </row>
    <row r="226" spans="1:4" hidden="1" x14ac:dyDescent="0.3">
      <c r="A226" s="22">
        <v>46051</v>
      </c>
      <c r="B226" t="s">
        <v>316</v>
      </c>
      <c r="C226" t="s">
        <v>317</v>
      </c>
      <c r="D226" s="15" t="s">
        <v>82</v>
      </c>
    </row>
    <row r="227" spans="1:4" hidden="1" x14ac:dyDescent="0.3">
      <c r="A227" s="22">
        <v>46051</v>
      </c>
      <c r="B227" t="s">
        <v>316</v>
      </c>
      <c r="C227" t="s">
        <v>318</v>
      </c>
      <c r="D227" s="15" t="s">
        <v>82</v>
      </c>
    </row>
    <row r="228" spans="1:4" hidden="1" x14ac:dyDescent="0.3">
      <c r="A228" s="22">
        <v>46051</v>
      </c>
      <c r="B228" t="s">
        <v>316</v>
      </c>
      <c r="C228" t="s">
        <v>319</v>
      </c>
      <c r="D228" s="15" t="s">
        <v>82</v>
      </c>
    </row>
    <row r="229" spans="1:4" hidden="1" x14ac:dyDescent="0.3">
      <c r="A229" s="22">
        <v>46079</v>
      </c>
      <c r="B229" t="s">
        <v>916</v>
      </c>
      <c r="C229" t="s">
        <v>935</v>
      </c>
      <c r="D229" s="15" t="s">
        <v>82</v>
      </c>
    </row>
    <row r="230" spans="1:4" hidden="1" x14ac:dyDescent="0.3">
      <c r="A230" s="22">
        <v>46079</v>
      </c>
      <c r="B230" t="s">
        <v>916</v>
      </c>
      <c r="C230" t="s">
        <v>936</v>
      </c>
      <c r="D230" s="15" t="s">
        <v>82</v>
      </c>
    </row>
    <row r="231" spans="1:4" hidden="1" x14ac:dyDescent="0.3">
      <c r="A231" s="22">
        <v>46077</v>
      </c>
      <c r="B231" t="s">
        <v>863</v>
      </c>
      <c r="C231" t="s">
        <v>865</v>
      </c>
      <c r="D231" s="15" t="s">
        <v>82</v>
      </c>
    </row>
    <row r="232" spans="1:4" hidden="1" x14ac:dyDescent="0.3">
      <c r="A232" s="22">
        <v>46121</v>
      </c>
      <c r="B232" t="s">
        <v>1516</v>
      </c>
      <c r="C232" t="s">
        <v>1517</v>
      </c>
      <c r="D232" s="15" t="s">
        <v>82</v>
      </c>
    </row>
    <row r="233" spans="1:4" hidden="1" x14ac:dyDescent="0.3">
      <c r="A233" s="22">
        <v>46036</v>
      </c>
      <c r="B233" t="s">
        <v>144</v>
      </c>
      <c r="C233" t="s">
        <v>152</v>
      </c>
      <c r="D233" s="15" t="s">
        <v>82</v>
      </c>
    </row>
    <row r="234" spans="1:4" hidden="1" x14ac:dyDescent="0.3">
      <c r="A234" s="22">
        <v>46106</v>
      </c>
      <c r="B234" t="s">
        <v>1191</v>
      </c>
      <c r="C234" t="s">
        <v>1192</v>
      </c>
      <c r="D234" s="15" t="s">
        <v>82</v>
      </c>
    </row>
    <row r="235" spans="1:4" hidden="1" x14ac:dyDescent="0.3">
      <c r="A235" s="22">
        <v>46056</v>
      </c>
      <c r="B235" t="s">
        <v>350</v>
      </c>
      <c r="C235" t="s">
        <v>351</v>
      </c>
      <c r="D235" s="15" t="s">
        <v>82</v>
      </c>
    </row>
    <row r="236" spans="1:4" hidden="1" x14ac:dyDescent="0.3">
      <c r="A236" s="22">
        <v>46066</v>
      </c>
      <c r="B236" t="s">
        <v>783</v>
      </c>
      <c r="C236" t="s">
        <v>784</v>
      </c>
      <c r="D236" s="15" t="s">
        <v>82</v>
      </c>
    </row>
    <row r="237" spans="1:4" hidden="1" x14ac:dyDescent="0.3">
      <c r="A237" s="22">
        <v>46066</v>
      </c>
      <c r="B237" t="s">
        <v>783</v>
      </c>
      <c r="C237" t="s">
        <v>775</v>
      </c>
      <c r="D237" s="15" t="s">
        <v>82</v>
      </c>
    </row>
    <row r="238" spans="1:4" hidden="1" x14ac:dyDescent="0.3">
      <c r="A238" s="22">
        <v>46073</v>
      </c>
      <c r="B238" t="s">
        <v>842</v>
      </c>
      <c r="C238" t="s">
        <v>844</v>
      </c>
      <c r="D238" s="15" t="s">
        <v>82</v>
      </c>
    </row>
    <row r="239" spans="1:4" hidden="1" x14ac:dyDescent="0.3">
      <c r="A239" s="22">
        <v>46035</v>
      </c>
      <c r="B239" t="s">
        <v>114</v>
      </c>
      <c r="C239" t="s">
        <v>115</v>
      </c>
      <c r="D239" s="15" t="s">
        <v>82</v>
      </c>
    </row>
    <row r="240" spans="1:4" hidden="1" x14ac:dyDescent="0.3">
      <c r="A240" s="22">
        <v>46107</v>
      </c>
      <c r="B240" t="s">
        <v>1200</v>
      </c>
      <c r="C240" t="s">
        <v>1202</v>
      </c>
      <c r="D240" s="15" t="s">
        <v>82</v>
      </c>
    </row>
    <row r="241" spans="1:4" hidden="1" x14ac:dyDescent="0.3">
      <c r="A241" s="22">
        <v>46010</v>
      </c>
      <c r="B241" t="s">
        <v>97</v>
      </c>
      <c r="C241" t="s">
        <v>96</v>
      </c>
      <c r="D241" s="15" t="s">
        <v>82</v>
      </c>
    </row>
    <row r="242" spans="1:4" hidden="1" x14ac:dyDescent="0.3">
      <c r="A242" s="22">
        <v>46121</v>
      </c>
      <c r="B242" t="s">
        <v>1518</v>
      </c>
      <c r="C242" t="s">
        <v>1527</v>
      </c>
      <c r="D242" s="15" t="s">
        <v>82</v>
      </c>
    </row>
    <row r="243" spans="1:4" hidden="1" x14ac:dyDescent="0.3">
      <c r="A243" s="22">
        <v>46049</v>
      </c>
      <c r="B243" t="s">
        <v>283</v>
      </c>
      <c r="C243" t="s">
        <v>288</v>
      </c>
      <c r="D243" s="15" t="s">
        <v>82</v>
      </c>
    </row>
    <row r="244" spans="1:4" hidden="1" x14ac:dyDescent="0.3">
      <c r="A244" s="22">
        <v>46129</v>
      </c>
      <c r="B244" t="s">
        <v>1645</v>
      </c>
      <c r="C244" t="s">
        <v>1647</v>
      </c>
      <c r="D244" s="15" t="s">
        <v>82</v>
      </c>
    </row>
    <row r="245" spans="1:4" hidden="1" x14ac:dyDescent="0.3">
      <c r="A245" s="22">
        <v>46037</v>
      </c>
      <c r="B245" t="s">
        <v>172</v>
      </c>
      <c r="D245" s="15" t="s">
        <v>82</v>
      </c>
    </row>
    <row r="246" spans="1:4" hidden="1" x14ac:dyDescent="0.3">
      <c r="A246" s="22">
        <v>46044</v>
      </c>
      <c r="B246" t="s">
        <v>231</v>
      </c>
      <c r="C246" t="s">
        <v>230</v>
      </c>
      <c r="D246" s="15" t="s">
        <v>82</v>
      </c>
    </row>
    <row r="247" spans="1:4" hidden="1" x14ac:dyDescent="0.3">
      <c r="A247" s="22">
        <v>46044</v>
      </c>
      <c r="B247" t="s">
        <v>231</v>
      </c>
      <c r="C247" t="s">
        <v>229</v>
      </c>
      <c r="D247" s="15" t="s">
        <v>82</v>
      </c>
    </row>
    <row r="248" spans="1:4" hidden="1" x14ac:dyDescent="0.3">
      <c r="A248" s="22">
        <v>46044</v>
      </c>
      <c r="B248" t="s">
        <v>231</v>
      </c>
      <c r="C248" t="s">
        <v>101</v>
      </c>
      <c r="D248" s="15" t="s">
        <v>82</v>
      </c>
    </row>
    <row r="249" spans="1:4" hidden="1" x14ac:dyDescent="0.3">
      <c r="A249" s="22">
        <v>46010</v>
      </c>
      <c r="B249" t="s">
        <v>93</v>
      </c>
      <c r="D249" s="15" t="s">
        <v>82</v>
      </c>
    </row>
    <row r="250" spans="1:4" hidden="1" x14ac:dyDescent="0.3">
      <c r="A250" s="22">
        <v>46035</v>
      </c>
      <c r="B250" t="s">
        <v>132</v>
      </c>
      <c r="C250" t="s">
        <v>143</v>
      </c>
      <c r="D250" s="15" t="s">
        <v>82</v>
      </c>
    </row>
    <row r="251" spans="1:4" hidden="1" x14ac:dyDescent="0.3">
      <c r="A251" s="22">
        <v>46126</v>
      </c>
      <c r="B251" t="s">
        <v>1556</v>
      </c>
      <c r="C251" t="s">
        <v>1559</v>
      </c>
      <c r="D251" s="15" t="s">
        <v>82</v>
      </c>
    </row>
    <row r="252" spans="1:4" hidden="1" x14ac:dyDescent="0.3">
      <c r="A252" s="22">
        <v>46100</v>
      </c>
      <c r="B252" t="s">
        <v>1157</v>
      </c>
      <c r="C252" t="s">
        <v>1160</v>
      </c>
      <c r="D252" s="15" t="s">
        <v>82</v>
      </c>
    </row>
    <row r="253" spans="1:4" hidden="1" x14ac:dyDescent="0.3">
      <c r="A253" s="22">
        <v>46107</v>
      </c>
      <c r="B253" t="s">
        <v>258</v>
      </c>
      <c r="C253" t="s">
        <v>1203</v>
      </c>
      <c r="D253" s="15" t="s">
        <v>82</v>
      </c>
    </row>
    <row r="254" spans="1:4" hidden="1" x14ac:dyDescent="0.3">
      <c r="A254" s="22">
        <v>46045</v>
      </c>
      <c r="B254" t="s">
        <v>258</v>
      </c>
      <c r="C254" t="s">
        <v>261</v>
      </c>
      <c r="D254" s="15" t="s">
        <v>82</v>
      </c>
    </row>
    <row r="255" spans="1:4" hidden="1" x14ac:dyDescent="0.3">
      <c r="A255" s="22">
        <v>46057</v>
      </c>
      <c r="B255" t="s">
        <v>355</v>
      </c>
      <c r="C255" t="s">
        <v>356</v>
      </c>
      <c r="D255" s="15" t="s">
        <v>82</v>
      </c>
    </row>
    <row r="256" spans="1:4" hidden="1" x14ac:dyDescent="0.3">
      <c r="A256" s="22">
        <v>46107</v>
      </c>
      <c r="B256" t="s">
        <v>355</v>
      </c>
      <c r="C256" t="s">
        <v>1201</v>
      </c>
      <c r="D256" s="15" t="s">
        <v>82</v>
      </c>
    </row>
    <row r="257" spans="1:4" hidden="1" x14ac:dyDescent="0.3">
      <c r="A257" s="22">
        <v>46035</v>
      </c>
      <c r="B257" t="s">
        <v>102</v>
      </c>
      <c r="C257" t="s">
        <v>107</v>
      </c>
      <c r="D257" s="15" t="s">
        <v>82</v>
      </c>
    </row>
    <row r="258" spans="1:4" hidden="1" x14ac:dyDescent="0.3">
      <c r="A258" s="22">
        <v>46071</v>
      </c>
      <c r="B258" t="s">
        <v>791</v>
      </c>
      <c r="C258" t="s">
        <v>796</v>
      </c>
      <c r="D258" s="15" t="s">
        <v>82</v>
      </c>
    </row>
    <row r="259" spans="1:4" hidden="1" x14ac:dyDescent="0.3">
      <c r="A259" s="22">
        <v>46071</v>
      </c>
      <c r="B259" t="s">
        <v>792</v>
      </c>
      <c r="C259" t="s">
        <v>794</v>
      </c>
      <c r="D259" s="15" t="s">
        <v>82</v>
      </c>
    </row>
    <row r="260" spans="1:4" hidden="1" x14ac:dyDescent="0.3">
      <c r="A260" s="22">
        <v>46038</v>
      </c>
      <c r="B260" t="s">
        <v>184</v>
      </c>
      <c r="C260" t="s">
        <v>185</v>
      </c>
      <c r="D260" s="15" t="s">
        <v>82</v>
      </c>
    </row>
    <row r="261" spans="1:4" hidden="1" x14ac:dyDescent="0.3">
      <c r="A261" s="22">
        <v>46077</v>
      </c>
      <c r="B261" t="s">
        <v>866</v>
      </c>
      <c r="C261" t="s">
        <v>869</v>
      </c>
      <c r="D261" s="15" t="s">
        <v>82</v>
      </c>
    </row>
    <row r="262" spans="1:4" hidden="1" x14ac:dyDescent="0.3">
      <c r="A262" s="22">
        <v>46008</v>
      </c>
      <c r="B262" t="s">
        <v>89</v>
      </c>
      <c r="D262" s="15" t="s">
        <v>82</v>
      </c>
    </row>
    <row r="263" spans="1:4" hidden="1" x14ac:dyDescent="0.3">
      <c r="A263" s="22">
        <v>46122</v>
      </c>
      <c r="B263" t="s">
        <v>1529</v>
      </c>
      <c r="C263" t="s">
        <v>1531</v>
      </c>
      <c r="D263" s="15" t="s">
        <v>82</v>
      </c>
    </row>
    <row r="264" spans="1:4" hidden="1" x14ac:dyDescent="0.3">
      <c r="A264" s="22">
        <v>46120</v>
      </c>
      <c r="B264" t="s">
        <v>1500</v>
      </c>
      <c r="C264" t="s">
        <v>1503</v>
      </c>
      <c r="D264" s="15" t="s">
        <v>82</v>
      </c>
    </row>
    <row r="265" spans="1:4" hidden="1" x14ac:dyDescent="0.3">
      <c r="A265" s="22">
        <v>46035</v>
      </c>
      <c r="B265" t="s">
        <v>129</v>
      </c>
      <c r="C265" t="s">
        <v>131</v>
      </c>
      <c r="D265" s="15" t="s">
        <v>82</v>
      </c>
    </row>
    <row r="266" spans="1:4" hidden="1" x14ac:dyDescent="0.3">
      <c r="A266" s="22">
        <v>46078</v>
      </c>
      <c r="B266" t="s">
        <v>891</v>
      </c>
      <c r="C266" t="s">
        <v>892</v>
      </c>
      <c r="D266" s="15" t="s">
        <v>82</v>
      </c>
    </row>
    <row r="267" spans="1:4" hidden="1" x14ac:dyDescent="0.3">
      <c r="A267" s="22">
        <v>46050</v>
      </c>
      <c r="B267" t="s">
        <v>308</v>
      </c>
      <c r="C267" t="s">
        <v>311</v>
      </c>
      <c r="D267" s="15" t="s">
        <v>82</v>
      </c>
    </row>
    <row r="268" spans="1:4" hidden="1" x14ac:dyDescent="0.3">
      <c r="A268" s="22">
        <v>46072</v>
      </c>
      <c r="B268" t="s">
        <v>821</v>
      </c>
      <c r="C268" t="s">
        <v>825</v>
      </c>
      <c r="D268" s="15" t="s">
        <v>82</v>
      </c>
    </row>
    <row r="269" spans="1:4" hidden="1" x14ac:dyDescent="0.3">
      <c r="A269" s="22">
        <v>46035</v>
      </c>
      <c r="B269" t="s">
        <v>133</v>
      </c>
      <c r="C269" t="s">
        <v>145</v>
      </c>
      <c r="D269" s="15" t="s">
        <v>82</v>
      </c>
    </row>
    <row r="270" spans="1:4" hidden="1" x14ac:dyDescent="0.3">
      <c r="A270" s="22">
        <v>46036</v>
      </c>
      <c r="B270" t="s">
        <v>140</v>
      </c>
      <c r="C270" t="s">
        <v>142</v>
      </c>
      <c r="D270" s="15" t="s">
        <v>82</v>
      </c>
    </row>
    <row r="271" spans="1:4" hidden="1" x14ac:dyDescent="0.3">
      <c r="A271" s="22">
        <v>46073</v>
      </c>
      <c r="B271" t="s">
        <v>835</v>
      </c>
      <c r="C271" t="s">
        <v>836</v>
      </c>
      <c r="D271" s="15" t="s">
        <v>82</v>
      </c>
    </row>
    <row r="272" spans="1:4" hidden="1" x14ac:dyDescent="0.3">
      <c r="A272" s="22">
        <v>46091</v>
      </c>
      <c r="B272" t="s">
        <v>1053</v>
      </c>
      <c r="C272" t="s">
        <v>1054</v>
      </c>
      <c r="D272" s="15" t="s">
        <v>82</v>
      </c>
    </row>
    <row r="273" spans="1:4" hidden="1" x14ac:dyDescent="0.3">
      <c r="A273" s="22">
        <v>46048</v>
      </c>
      <c r="B273" t="s">
        <v>263</v>
      </c>
      <c r="C273" t="s">
        <v>261</v>
      </c>
      <c r="D273" s="15" t="s">
        <v>82</v>
      </c>
    </row>
    <row r="274" spans="1:4" hidden="1" x14ac:dyDescent="0.3">
      <c r="A274" s="22">
        <v>46042</v>
      </c>
      <c r="B274" t="s">
        <v>232</v>
      </c>
      <c r="C274" t="s">
        <v>219</v>
      </c>
      <c r="D274" s="15" t="s">
        <v>82</v>
      </c>
    </row>
    <row r="275" spans="1:4" hidden="1" x14ac:dyDescent="0.3">
      <c r="A275" s="22">
        <v>46043</v>
      </c>
      <c r="B275" t="s">
        <v>232</v>
      </c>
      <c r="C275" t="s">
        <v>219</v>
      </c>
      <c r="D275" s="15" t="s">
        <v>82</v>
      </c>
    </row>
    <row r="276" spans="1:4" hidden="1" x14ac:dyDescent="0.3">
      <c r="A276" s="22">
        <v>46050</v>
      </c>
      <c r="B276" t="s">
        <v>306</v>
      </c>
      <c r="C276" t="s">
        <v>309</v>
      </c>
      <c r="D276" s="15" t="s">
        <v>82</v>
      </c>
    </row>
    <row r="277" spans="1:4" hidden="1" x14ac:dyDescent="0.3">
      <c r="A277" s="22">
        <v>46035</v>
      </c>
      <c r="B277" t="s">
        <v>116</v>
      </c>
      <c r="C277" t="s">
        <v>128</v>
      </c>
      <c r="D277" s="15" t="s">
        <v>82</v>
      </c>
    </row>
    <row r="278" spans="1:4" hidden="1" x14ac:dyDescent="0.3">
      <c r="A278" s="22">
        <v>46107</v>
      </c>
      <c r="B278" t="s">
        <v>1211</v>
      </c>
      <c r="C278" t="s">
        <v>1212</v>
      </c>
      <c r="D278" s="15" t="s">
        <v>82</v>
      </c>
    </row>
    <row r="279" spans="1:4" hidden="1" x14ac:dyDescent="0.3">
      <c r="A279" s="22">
        <v>46092</v>
      </c>
      <c r="B279" t="s">
        <v>1061</v>
      </c>
      <c r="C279" t="s">
        <v>1062</v>
      </c>
      <c r="D279" s="15" t="s">
        <v>82</v>
      </c>
    </row>
    <row r="280" spans="1:4" hidden="1" x14ac:dyDescent="0.3">
      <c r="A280" s="22">
        <v>46127</v>
      </c>
      <c r="B280" t="s">
        <v>1061</v>
      </c>
      <c r="C280" t="s">
        <v>1619</v>
      </c>
      <c r="D280" s="15" t="s">
        <v>82</v>
      </c>
    </row>
    <row r="281" spans="1:4" hidden="1" x14ac:dyDescent="0.3">
      <c r="A281" s="22">
        <v>46121</v>
      </c>
      <c r="B281" t="s">
        <v>1524</v>
      </c>
      <c r="C281" t="s">
        <v>1526</v>
      </c>
      <c r="D281" s="15" t="s">
        <v>82</v>
      </c>
    </row>
    <row r="282" spans="1:4" hidden="1" x14ac:dyDescent="0.3">
      <c r="A282" s="22">
        <v>46104</v>
      </c>
      <c r="B282" t="s">
        <v>1176</v>
      </c>
      <c r="C282" t="s">
        <v>1177</v>
      </c>
      <c r="D282" s="15" t="s">
        <v>82</v>
      </c>
    </row>
    <row r="283" spans="1:4" hidden="1" x14ac:dyDescent="0.3">
      <c r="A283" s="22">
        <v>46122</v>
      </c>
      <c r="B283" t="s">
        <v>1534</v>
      </c>
      <c r="C283" t="s">
        <v>1538</v>
      </c>
      <c r="D283" s="15" t="s">
        <v>82</v>
      </c>
    </row>
    <row r="284" spans="1:4" hidden="1" x14ac:dyDescent="0.3">
      <c r="A284" s="22">
        <v>46071</v>
      </c>
      <c r="B284" t="s">
        <v>797</v>
      </c>
      <c r="C284" t="s">
        <v>798</v>
      </c>
      <c r="D284" s="15" t="s">
        <v>82</v>
      </c>
    </row>
    <row r="285" spans="1:4" hidden="1" x14ac:dyDescent="0.3">
      <c r="A285" s="22">
        <v>46083</v>
      </c>
      <c r="B285" t="s">
        <v>797</v>
      </c>
      <c r="C285" t="s">
        <v>952</v>
      </c>
      <c r="D285" s="15" t="s">
        <v>82</v>
      </c>
    </row>
    <row r="286" spans="1:4" hidden="1" x14ac:dyDescent="0.3">
      <c r="A286" s="22">
        <v>46072</v>
      </c>
      <c r="B286" t="s">
        <v>822</v>
      </c>
      <c r="C286" t="s">
        <v>826</v>
      </c>
      <c r="D286" s="15" t="s">
        <v>82</v>
      </c>
    </row>
    <row r="287" spans="1:4" hidden="1" x14ac:dyDescent="0.3">
      <c r="A287" s="22">
        <v>46076</v>
      </c>
      <c r="B287" t="s">
        <v>850</v>
      </c>
      <c r="C287" t="s">
        <v>852</v>
      </c>
      <c r="D287" s="15" t="s">
        <v>82</v>
      </c>
    </row>
    <row r="288" spans="1:4" hidden="1" x14ac:dyDescent="0.3">
      <c r="A288" s="22">
        <v>46036</v>
      </c>
      <c r="B288" t="s">
        <v>160</v>
      </c>
      <c r="C288" t="s">
        <v>161</v>
      </c>
      <c r="D288" s="15" t="s">
        <v>82</v>
      </c>
    </row>
    <row r="289" spans="1:4" hidden="1" x14ac:dyDescent="0.3">
      <c r="A289" s="22">
        <v>46035</v>
      </c>
      <c r="B289" t="s">
        <v>120</v>
      </c>
      <c r="C289" t="s">
        <v>121</v>
      </c>
      <c r="D289" s="15" t="s">
        <v>82</v>
      </c>
    </row>
    <row r="290" spans="1:4" hidden="1" x14ac:dyDescent="0.3">
      <c r="A290" s="22">
        <v>46041</v>
      </c>
      <c r="B290" t="s">
        <v>120</v>
      </c>
      <c r="C290" t="s">
        <v>223</v>
      </c>
      <c r="D290" s="15" t="s">
        <v>82</v>
      </c>
    </row>
    <row r="291" spans="1:4" hidden="1" x14ac:dyDescent="0.3">
      <c r="A291" s="22">
        <v>46108</v>
      </c>
      <c r="B291" t="s">
        <v>1213</v>
      </c>
      <c r="C291" t="s">
        <v>1214</v>
      </c>
      <c r="D291" s="15" t="s">
        <v>82</v>
      </c>
    </row>
    <row r="292" spans="1:4" hidden="1" x14ac:dyDescent="0.3">
      <c r="A292" s="22">
        <v>46072</v>
      </c>
      <c r="B292" t="s">
        <v>819</v>
      </c>
      <c r="C292" t="s">
        <v>820</v>
      </c>
      <c r="D292" s="15" t="s">
        <v>82</v>
      </c>
    </row>
    <row r="293" spans="1:4" hidden="1" x14ac:dyDescent="0.3">
      <c r="A293" s="22">
        <v>46078</v>
      </c>
      <c r="B293" t="s">
        <v>903</v>
      </c>
      <c r="C293" t="s">
        <v>908</v>
      </c>
      <c r="D293" s="15" t="s">
        <v>82</v>
      </c>
    </row>
    <row r="294" spans="1:4" hidden="1" x14ac:dyDescent="0.3">
      <c r="A294" s="22">
        <v>46073</v>
      </c>
      <c r="B294" t="s">
        <v>840</v>
      </c>
      <c r="C294" t="s">
        <v>841</v>
      </c>
      <c r="D294" s="15" t="s">
        <v>82</v>
      </c>
    </row>
    <row r="295" spans="1:4" hidden="1" x14ac:dyDescent="0.3">
      <c r="A295" s="22">
        <v>46125</v>
      </c>
      <c r="B295" t="s">
        <v>1545</v>
      </c>
      <c r="C295" t="s">
        <v>1547</v>
      </c>
      <c r="D295" s="15" t="s">
        <v>82</v>
      </c>
    </row>
    <row r="296" spans="1:4" hidden="1" x14ac:dyDescent="0.3">
      <c r="A296" s="22">
        <v>46050</v>
      </c>
      <c r="B296" t="s">
        <v>307</v>
      </c>
      <c r="C296" t="s">
        <v>310</v>
      </c>
      <c r="D296" s="15" t="s">
        <v>82</v>
      </c>
    </row>
    <row r="297" spans="1:4" hidden="1" x14ac:dyDescent="0.3">
      <c r="A297" s="22">
        <v>46127</v>
      </c>
      <c r="B297" t="s">
        <v>1618</v>
      </c>
      <c r="C297" t="s">
        <v>1620</v>
      </c>
      <c r="D297" s="15" t="s">
        <v>82</v>
      </c>
    </row>
    <row r="298" spans="1:4" hidden="1" x14ac:dyDescent="0.3">
      <c r="A298" s="22">
        <v>46072</v>
      </c>
      <c r="B298" t="s">
        <v>817</v>
      </c>
      <c r="C298" t="s">
        <v>818</v>
      </c>
      <c r="D298" s="15" t="s">
        <v>82</v>
      </c>
    </row>
    <row r="299" spans="1:4" hidden="1" x14ac:dyDescent="0.3">
      <c r="A299" s="22">
        <v>46077</v>
      </c>
      <c r="B299" t="s">
        <v>883</v>
      </c>
      <c r="C299" t="s">
        <v>889</v>
      </c>
      <c r="D299" s="15" t="s">
        <v>82</v>
      </c>
    </row>
    <row r="300" spans="1:4" hidden="1" x14ac:dyDescent="0.3">
      <c r="A300" s="22">
        <v>46009</v>
      </c>
      <c r="B300" t="s">
        <v>90</v>
      </c>
      <c r="D300" s="15" t="s">
        <v>82</v>
      </c>
    </row>
    <row r="301" spans="1:4" hidden="1" x14ac:dyDescent="0.3">
      <c r="A301" s="22">
        <v>46035</v>
      </c>
      <c r="B301" t="s">
        <v>113</v>
      </c>
      <c r="C301" t="s">
        <v>118</v>
      </c>
      <c r="D301" s="15" t="s">
        <v>82</v>
      </c>
    </row>
    <row r="302" spans="1:4" hidden="1" x14ac:dyDescent="0.3">
      <c r="A302" s="22">
        <v>46041</v>
      </c>
      <c r="B302" t="s">
        <v>233</v>
      </c>
      <c r="C302" t="s">
        <v>220</v>
      </c>
      <c r="D302" s="15" t="s">
        <v>82</v>
      </c>
    </row>
    <row r="303" spans="1:4" hidden="1" x14ac:dyDescent="0.3">
      <c r="A303" s="22">
        <v>46035</v>
      </c>
      <c r="B303" t="s">
        <v>99</v>
      </c>
      <c r="C303" t="s">
        <v>103</v>
      </c>
      <c r="D303" s="15" t="s">
        <v>82</v>
      </c>
    </row>
    <row r="304" spans="1:4" hidden="1" x14ac:dyDescent="0.3">
      <c r="A304" s="22">
        <v>46105</v>
      </c>
      <c r="B304" t="s">
        <v>1182</v>
      </c>
      <c r="C304" t="s">
        <v>1210</v>
      </c>
      <c r="D304" s="15" t="s">
        <v>82</v>
      </c>
    </row>
    <row r="305" spans="1:4" hidden="1" x14ac:dyDescent="0.3">
      <c r="A305" s="22">
        <v>46107</v>
      </c>
      <c r="B305" t="s">
        <v>1182</v>
      </c>
      <c r="C305" t="s">
        <v>1209</v>
      </c>
      <c r="D305" s="15" t="s">
        <v>82</v>
      </c>
    </row>
    <row r="306" spans="1:4" hidden="1" x14ac:dyDescent="0.3">
      <c r="A306" s="22">
        <v>46077</v>
      </c>
      <c r="B306" t="s">
        <v>860</v>
      </c>
      <c r="C306" t="s">
        <v>868</v>
      </c>
      <c r="D306" s="15" t="s">
        <v>82</v>
      </c>
    </row>
    <row r="307" spans="1:4" hidden="1" x14ac:dyDescent="0.3">
      <c r="A307" s="22">
        <v>46052</v>
      </c>
      <c r="B307" t="s">
        <v>337</v>
      </c>
      <c r="C307" t="s">
        <v>339</v>
      </c>
      <c r="D307" s="15" t="s">
        <v>82</v>
      </c>
    </row>
    <row r="308" spans="1:4" hidden="1" x14ac:dyDescent="0.3">
      <c r="A308" s="22">
        <v>46052</v>
      </c>
      <c r="B308" t="s">
        <v>337</v>
      </c>
      <c r="C308" t="s">
        <v>340</v>
      </c>
      <c r="D308" s="15" t="s">
        <v>82</v>
      </c>
    </row>
    <row r="309" spans="1:4" hidden="1" x14ac:dyDescent="0.3">
      <c r="A309" s="22">
        <v>46122</v>
      </c>
      <c r="B309" t="s">
        <v>1530</v>
      </c>
      <c r="C309" t="s">
        <v>1532</v>
      </c>
      <c r="D309" s="15" t="s">
        <v>82</v>
      </c>
    </row>
    <row r="310" spans="1:4" hidden="1" x14ac:dyDescent="0.3">
      <c r="A310" s="22">
        <v>46037</v>
      </c>
      <c r="B310" t="s">
        <v>166</v>
      </c>
      <c r="C310" t="s">
        <v>168</v>
      </c>
      <c r="D310" s="15" t="s">
        <v>82</v>
      </c>
    </row>
    <row r="311" spans="1:4" hidden="1" x14ac:dyDescent="0.3">
      <c r="A311" s="22">
        <v>46049</v>
      </c>
      <c r="B311" t="s">
        <v>292</v>
      </c>
      <c r="C311" t="s">
        <v>293</v>
      </c>
      <c r="D311" s="15" t="s">
        <v>82</v>
      </c>
    </row>
    <row r="312" spans="1:4" hidden="1" x14ac:dyDescent="0.3">
      <c r="A312" s="22">
        <v>46126</v>
      </c>
      <c r="B312" t="s">
        <v>292</v>
      </c>
      <c r="C312" t="s">
        <v>1609</v>
      </c>
      <c r="D312" s="15" t="s">
        <v>82</v>
      </c>
    </row>
    <row r="313" spans="1:4" hidden="1" x14ac:dyDescent="0.3">
      <c r="A313" s="22">
        <v>46126</v>
      </c>
      <c r="B313" t="s">
        <v>292</v>
      </c>
      <c r="C313" t="s">
        <v>1610</v>
      </c>
      <c r="D313" s="15" t="s">
        <v>82</v>
      </c>
    </row>
    <row r="314" spans="1:4" hidden="1" x14ac:dyDescent="0.3">
      <c r="A314" s="22">
        <v>46035</v>
      </c>
      <c r="B314" t="s">
        <v>100</v>
      </c>
      <c r="C314" t="s">
        <v>101</v>
      </c>
      <c r="D314" s="15" t="s">
        <v>82</v>
      </c>
    </row>
    <row r="315" spans="1:4" hidden="1" x14ac:dyDescent="0.3">
      <c r="A315" s="22">
        <v>46050</v>
      </c>
      <c r="B315" t="s">
        <v>100</v>
      </c>
      <c r="C315" t="s">
        <v>303</v>
      </c>
      <c r="D315" s="15" t="s">
        <v>82</v>
      </c>
    </row>
    <row r="316" spans="1:4" hidden="1" x14ac:dyDescent="0.3">
      <c r="A316" s="22">
        <v>46050</v>
      </c>
      <c r="B316" t="s">
        <v>100</v>
      </c>
      <c r="C316" t="s">
        <v>304</v>
      </c>
      <c r="D316" s="15" t="s">
        <v>82</v>
      </c>
    </row>
    <row r="317" spans="1:4" hidden="1" x14ac:dyDescent="0.3">
      <c r="A317" s="22">
        <v>46050</v>
      </c>
      <c r="B317" t="s">
        <v>100</v>
      </c>
      <c r="C317" t="s">
        <v>305</v>
      </c>
      <c r="D317" s="15" t="s">
        <v>82</v>
      </c>
    </row>
    <row r="318" spans="1:4" hidden="1" x14ac:dyDescent="0.3">
      <c r="A318" s="22">
        <v>46111</v>
      </c>
      <c r="B318" t="s">
        <v>100</v>
      </c>
      <c r="C318" t="s">
        <v>1315</v>
      </c>
      <c r="D318" s="15" t="s">
        <v>82</v>
      </c>
    </row>
    <row r="319" spans="1:4" hidden="1" x14ac:dyDescent="0.3">
      <c r="A319" s="22">
        <v>46041</v>
      </c>
      <c r="B319" t="s">
        <v>234</v>
      </c>
      <c r="C319" t="s">
        <v>211</v>
      </c>
      <c r="D319" s="15" t="s">
        <v>82</v>
      </c>
    </row>
    <row r="320" spans="1:4" hidden="1" x14ac:dyDescent="0.3">
      <c r="A320" s="22">
        <v>46044</v>
      </c>
      <c r="B320" t="s">
        <v>234</v>
      </c>
      <c r="C320" t="s">
        <v>228</v>
      </c>
      <c r="D320" s="15" t="s">
        <v>82</v>
      </c>
    </row>
    <row r="321" spans="1:4" hidden="1" x14ac:dyDescent="0.3">
      <c r="A321" s="22">
        <v>46049</v>
      </c>
      <c r="B321" t="s">
        <v>234</v>
      </c>
      <c r="C321" t="s">
        <v>289</v>
      </c>
      <c r="D321" s="15" t="s">
        <v>82</v>
      </c>
    </row>
    <row r="322" spans="1:4" hidden="1" x14ac:dyDescent="0.3">
      <c r="A322" s="22">
        <v>46009</v>
      </c>
      <c r="B322" t="s">
        <v>91</v>
      </c>
      <c r="D322" s="15" t="s">
        <v>82</v>
      </c>
    </row>
    <row r="323" spans="1:4" hidden="1" x14ac:dyDescent="0.3">
      <c r="A323" s="22">
        <v>46052</v>
      </c>
      <c r="B323" t="s">
        <v>330</v>
      </c>
      <c r="C323" t="s">
        <v>333</v>
      </c>
      <c r="D323" s="15" t="s">
        <v>82</v>
      </c>
    </row>
    <row r="324" spans="1:4" hidden="1" x14ac:dyDescent="0.3">
      <c r="A324" s="22">
        <v>46052</v>
      </c>
      <c r="B324" t="s">
        <v>330</v>
      </c>
      <c r="C324" t="s">
        <v>334</v>
      </c>
      <c r="D324" s="15" t="s">
        <v>82</v>
      </c>
    </row>
    <row r="325" spans="1:4" hidden="1" x14ac:dyDescent="0.3">
      <c r="A325" s="22">
        <v>46091</v>
      </c>
      <c r="B325" t="s">
        <v>1057</v>
      </c>
      <c r="C325" t="s">
        <v>1058</v>
      </c>
      <c r="D325" s="15" t="s">
        <v>82</v>
      </c>
    </row>
    <row r="326" spans="1:4" hidden="1" x14ac:dyDescent="0.3">
      <c r="A326" s="22">
        <v>46092</v>
      </c>
      <c r="B326" t="s">
        <v>1057</v>
      </c>
      <c r="C326" t="s">
        <v>1066</v>
      </c>
      <c r="D326" s="15" t="s">
        <v>82</v>
      </c>
    </row>
    <row r="327" spans="1:4" hidden="1" x14ac:dyDescent="0.3">
      <c r="A327" s="22">
        <v>46079</v>
      </c>
      <c r="B327" t="s">
        <v>939</v>
      </c>
      <c r="C327" t="s">
        <v>937</v>
      </c>
      <c r="D327" s="15" t="s">
        <v>82</v>
      </c>
    </row>
    <row r="328" spans="1:4" hidden="1" x14ac:dyDescent="0.3">
      <c r="A328" s="22">
        <v>46121</v>
      </c>
      <c r="B328" t="s">
        <v>1519</v>
      </c>
      <c r="C328" t="s">
        <v>1520</v>
      </c>
      <c r="D328" s="15" t="s">
        <v>82</v>
      </c>
    </row>
    <row r="329" spans="1:4" hidden="1" x14ac:dyDescent="0.3">
      <c r="A329" s="22">
        <v>46121</v>
      </c>
      <c r="B329" t="s">
        <v>1519</v>
      </c>
      <c r="C329" t="s">
        <v>1521</v>
      </c>
      <c r="D329" s="15" t="s">
        <v>82</v>
      </c>
    </row>
    <row r="330" spans="1:4" hidden="1" x14ac:dyDescent="0.3">
      <c r="A330" s="22">
        <v>46121</v>
      </c>
      <c r="B330" t="s">
        <v>1519</v>
      </c>
      <c r="C330" t="s">
        <v>1522</v>
      </c>
      <c r="D330" s="15" t="s">
        <v>82</v>
      </c>
    </row>
    <row r="331" spans="1:4" hidden="1" x14ac:dyDescent="0.3">
      <c r="A331" s="22">
        <v>46121</v>
      </c>
      <c r="B331" t="s">
        <v>1519</v>
      </c>
      <c r="C331" t="s">
        <v>1523</v>
      </c>
      <c r="D331" s="15" t="s">
        <v>82</v>
      </c>
    </row>
    <row r="332" spans="1:4" hidden="1" x14ac:dyDescent="0.3">
      <c r="A332" s="22">
        <v>46084</v>
      </c>
      <c r="B332" t="s">
        <v>959</v>
      </c>
      <c r="C332" t="s">
        <v>967</v>
      </c>
      <c r="D332" s="15" t="s">
        <v>82</v>
      </c>
    </row>
    <row r="333" spans="1:4" hidden="1" x14ac:dyDescent="0.3">
      <c r="A333" s="22">
        <v>46129</v>
      </c>
      <c r="B333" t="s">
        <v>1644</v>
      </c>
      <c r="C333" t="s">
        <v>1648</v>
      </c>
      <c r="D333" s="15" t="s">
        <v>82</v>
      </c>
    </row>
    <row r="334" spans="1:4" hidden="1" x14ac:dyDescent="0.3">
      <c r="A334" s="22">
        <v>46125</v>
      </c>
      <c r="B334" t="s">
        <v>1544</v>
      </c>
      <c r="C334" t="s">
        <v>1546</v>
      </c>
      <c r="D334" s="15" t="s">
        <v>82</v>
      </c>
    </row>
    <row r="335" spans="1:4" hidden="1" x14ac:dyDescent="0.3">
      <c r="A335" s="22">
        <v>46035</v>
      </c>
      <c r="B335" t="s">
        <v>110</v>
      </c>
      <c r="C335" t="s">
        <v>119</v>
      </c>
      <c r="D335" s="15" t="s">
        <v>82</v>
      </c>
    </row>
    <row r="336" spans="1:4" hidden="1" x14ac:dyDescent="0.3">
      <c r="A336" s="22">
        <v>46079</v>
      </c>
      <c r="B336" t="s">
        <v>940</v>
      </c>
      <c r="C336" t="s">
        <v>941</v>
      </c>
      <c r="D336" s="15" t="s">
        <v>82</v>
      </c>
    </row>
    <row r="337" spans="1:4" hidden="1" x14ac:dyDescent="0.3">
      <c r="A337" s="22">
        <v>46044</v>
      </c>
      <c r="B337" t="s">
        <v>150</v>
      </c>
      <c r="C337" t="s">
        <v>227</v>
      </c>
      <c r="D337" s="15" t="s">
        <v>82</v>
      </c>
    </row>
    <row r="338" spans="1:4" hidden="1" x14ac:dyDescent="0.3">
      <c r="A338" s="22">
        <v>46036</v>
      </c>
      <c r="B338" t="s">
        <v>150</v>
      </c>
      <c r="C338" t="s">
        <v>157</v>
      </c>
      <c r="D338" s="15" t="s">
        <v>82</v>
      </c>
    </row>
    <row r="339" spans="1:4" hidden="1" x14ac:dyDescent="0.3">
      <c r="A339" s="22">
        <v>46036</v>
      </c>
      <c r="B339" t="s">
        <v>150</v>
      </c>
      <c r="C339" t="s">
        <v>158</v>
      </c>
      <c r="D339" s="15" t="s">
        <v>82</v>
      </c>
    </row>
    <row r="340" spans="1:4" hidden="1" x14ac:dyDescent="0.3">
      <c r="A340" s="22">
        <v>46036</v>
      </c>
      <c r="B340" t="s">
        <v>150</v>
      </c>
      <c r="C340" t="s">
        <v>159</v>
      </c>
      <c r="D340" s="15" t="s">
        <v>82</v>
      </c>
    </row>
    <row r="341" spans="1:4" hidden="1" x14ac:dyDescent="0.3">
      <c r="A341" s="22">
        <v>46037</v>
      </c>
      <c r="B341" t="s">
        <v>150</v>
      </c>
      <c r="C341" t="s">
        <v>169</v>
      </c>
      <c r="D341" s="15" t="s">
        <v>82</v>
      </c>
    </row>
    <row r="342" spans="1:4" hidden="1" x14ac:dyDescent="0.3">
      <c r="A342" s="22">
        <v>46038</v>
      </c>
      <c r="B342" t="s">
        <v>150</v>
      </c>
      <c r="C342" t="s">
        <v>182</v>
      </c>
      <c r="D342" s="15" t="s">
        <v>82</v>
      </c>
    </row>
    <row r="343" spans="1:4" hidden="1" x14ac:dyDescent="0.3">
      <c r="A343" s="22">
        <v>46071</v>
      </c>
      <c r="B343" t="s">
        <v>150</v>
      </c>
      <c r="C343" t="s">
        <v>816</v>
      </c>
      <c r="D343" s="15" t="s">
        <v>82</v>
      </c>
    </row>
    <row r="344" spans="1:4" hidden="1" x14ac:dyDescent="0.3">
      <c r="A344" s="22">
        <v>46077</v>
      </c>
      <c r="B344" t="s">
        <v>150</v>
      </c>
      <c r="C344" t="s">
        <v>885</v>
      </c>
      <c r="D344" s="15" t="s">
        <v>82</v>
      </c>
    </row>
    <row r="345" spans="1:4" hidden="1" x14ac:dyDescent="0.3">
      <c r="A345" s="22">
        <v>46077</v>
      </c>
      <c r="B345" t="s">
        <v>150</v>
      </c>
      <c r="C345" t="s">
        <v>886</v>
      </c>
      <c r="D345" s="15" t="s">
        <v>82</v>
      </c>
    </row>
    <row r="346" spans="1:4" hidden="1" x14ac:dyDescent="0.3">
      <c r="A346" s="22">
        <v>46107</v>
      </c>
      <c r="B346" t="s">
        <v>150</v>
      </c>
      <c r="C346" t="s">
        <v>1206</v>
      </c>
      <c r="D346" s="15" t="s">
        <v>82</v>
      </c>
    </row>
    <row r="347" spans="1:4" hidden="1" x14ac:dyDescent="0.3">
      <c r="A347" s="22">
        <v>46107</v>
      </c>
      <c r="B347" t="s">
        <v>1204</v>
      </c>
      <c r="C347" t="s">
        <v>1207</v>
      </c>
      <c r="D347" s="15" t="s">
        <v>82</v>
      </c>
    </row>
    <row r="348" spans="1:4" hidden="1" x14ac:dyDescent="0.3">
      <c r="A348" s="22">
        <v>46035</v>
      </c>
      <c r="B348" t="s">
        <v>111</v>
      </c>
      <c r="C348" t="s">
        <v>126</v>
      </c>
      <c r="D348" s="15" t="s">
        <v>82</v>
      </c>
    </row>
    <row r="349" spans="1:4" hidden="1" x14ac:dyDescent="0.3">
      <c r="A349" s="22">
        <v>46041</v>
      </c>
      <c r="B349" t="s">
        <v>111</v>
      </c>
      <c r="C349" t="s">
        <v>212</v>
      </c>
      <c r="D349" s="15" t="s">
        <v>82</v>
      </c>
    </row>
    <row r="350" spans="1:4" hidden="1" x14ac:dyDescent="0.3">
      <c r="A350" s="22">
        <v>46127</v>
      </c>
      <c r="B350" t="s">
        <v>1613</v>
      </c>
      <c r="C350" t="s">
        <v>1617</v>
      </c>
      <c r="D350" s="15" t="s">
        <v>82</v>
      </c>
    </row>
    <row r="351" spans="1:4" hidden="1" x14ac:dyDescent="0.3">
      <c r="A351" s="22">
        <v>46041</v>
      </c>
      <c r="B351" t="s">
        <v>235</v>
      </c>
      <c r="C351" t="s">
        <v>329</v>
      </c>
      <c r="D351" s="15" t="s">
        <v>82</v>
      </c>
    </row>
    <row r="352" spans="1:4" hidden="1" x14ac:dyDescent="0.3">
      <c r="A352" s="22">
        <v>46049</v>
      </c>
      <c r="B352" t="s">
        <v>282</v>
      </c>
      <c r="C352" t="s">
        <v>284</v>
      </c>
      <c r="D352" s="15" t="s">
        <v>82</v>
      </c>
    </row>
    <row r="353" spans="1:4" hidden="1" x14ac:dyDescent="0.3">
      <c r="A353" s="22">
        <v>46049</v>
      </c>
      <c r="B353" t="s">
        <v>282</v>
      </c>
      <c r="C353" t="s">
        <v>285</v>
      </c>
      <c r="D353" s="15" t="s">
        <v>82</v>
      </c>
    </row>
    <row r="354" spans="1:4" hidden="1" x14ac:dyDescent="0.3">
      <c r="A354" s="22">
        <v>46078</v>
      </c>
      <c r="B354" t="s">
        <v>282</v>
      </c>
      <c r="C354" t="s">
        <v>914</v>
      </c>
      <c r="D354" s="15" t="s">
        <v>82</v>
      </c>
    </row>
    <row r="355" spans="1:4" hidden="1" x14ac:dyDescent="0.3">
      <c r="A355" s="22">
        <v>46076</v>
      </c>
      <c r="B355" t="s">
        <v>890</v>
      </c>
      <c r="C355" t="s">
        <v>851</v>
      </c>
      <c r="D355" s="15" t="s">
        <v>82</v>
      </c>
    </row>
    <row r="356" spans="1:4" hidden="1" x14ac:dyDescent="0.3">
      <c r="A356" s="22">
        <v>46078</v>
      </c>
      <c r="B356" t="s">
        <v>893</v>
      </c>
      <c r="C356" t="s">
        <v>907</v>
      </c>
      <c r="D356" s="15" t="s">
        <v>82</v>
      </c>
    </row>
    <row r="357" spans="1:4" hidden="1" x14ac:dyDescent="0.3">
      <c r="A357" s="22">
        <v>46037</v>
      </c>
      <c r="B357" t="s">
        <v>174</v>
      </c>
      <c r="C357" t="s">
        <v>175</v>
      </c>
      <c r="D357" s="15" t="s">
        <v>82</v>
      </c>
    </row>
    <row r="358" spans="1:4" hidden="1" x14ac:dyDescent="0.3">
      <c r="A358" s="22">
        <v>46037</v>
      </c>
      <c r="B358" t="s">
        <v>174</v>
      </c>
      <c r="C358" t="s">
        <v>176</v>
      </c>
      <c r="D358" s="15" t="s">
        <v>82</v>
      </c>
    </row>
    <row r="359" spans="1:4" hidden="1" x14ac:dyDescent="0.3">
      <c r="A359" s="22">
        <v>46037</v>
      </c>
      <c r="B359" t="s">
        <v>174</v>
      </c>
      <c r="C359" t="s">
        <v>177</v>
      </c>
      <c r="D359" s="15" t="s">
        <v>82</v>
      </c>
    </row>
    <row r="360" spans="1:4" hidden="1" x14ac:dyDescent="0.3">
      <c r="A360" s="22">
        <v>46037</v>
      </c>
      <c r="B360" t="s">
        <v>174</v>
      </c>
      <c r="C360" t="s">
        <v>257</v>
      </c>
      <c r="D360" s="15" t="s">
        <v>82</v>
      </c>
    </row>
    <row r="361" spans="1:4" hidden="1" x14ac:dyDescent="0.3">
      <c r="A361" s="22">
        <v>46100</v>
      </c>
      <c r="B361" t="s">
        <v>1153</v>
      </c>
      <c r="C361" t="s">
        <v>1155</v>
      </c>
      <c r="D361" s="15" t="s">
        <v>82</v>
      </c>
    </row>
    <row r="362" spans="1:4" hidden="1" x14ac:dyDescent="0.3">
      <c r="A362" s="22">
        <v>46100</v>
      </c>
      <c r="B362" t="s">
        <v>1153</v>
      </c>
      <c r="C362" t="s">
        <v>1154</v>
      </c>
      <c r="D362" s="15" t="s">
        <v>82</v>
      </c>
    </row>
    <row r="363" spans="1:4" hidden="1" x14ac:dyDescent="0.3">
      <c r="A363" s="22">
        <v>46035</v>
      </c>
      <c r="B363" t="s">
        <v>108</v>
      </c>
      <c r="C363" t="s">
        <v>122</v>
      </c>
      <c r="D363" s="15" t="s">
        <v>82</v>
      </c>
    </row>
    <row r="364" spans="1:4" hidden="1" x14ac:dyDescent="0.3">
      <c r="A364" s="22">
        <v>46066</v>
      </c>
      <c r="B364" t="s">
        <v>108</v>
      </c>
      <c r="C364" t="s">
        <v>779</v>
      </c>
      <c r="D364" s="15" t="s">
        <v>82</v>
      </c>
    </row>
    <row r="365" spans="1:4" hidden="1" x14ac:dyDescent="0.3">
      <c r="A365" s="22">
        <v>46066</v>
      </c>
      <c r="B365" t="s">
        <v>108</v>
      </c>
      <c r="C365" t="s">
        <v>780</v>
      </c>
      <c r="D365" s="15" t="s">
        <v>82</v>
      </c>
    </row>
    <row r="366" spans="1:4" hidden="1" x14ac:dyDescent="0.3">
      <c r="A366" s="22">
        <v>46035</v>
      </c>
      <c r="B366" t="s">
        <v>109</v>
      </c>
      <c r="C366" t="s">
        <v>123</v>
      </c>
      <c r="D366" s="15" t="s">
        <v>82</v>
      </c>
    </row>
    <row r="367" spans="1:4" hidden="1" x14ac:dyDescent="0.3">
      <c r="A367" s="22">
        <v>46037</v>
      </c>
      <c r="B367" t="s">
        <v>173</v>
      </c>
      <c r="C367" t="s">
        <v>178</v>
      </c>
      <c r="D367" s="15" t="s">
        <v>82</v>
      </c>
    </row>
    <row r="368" spans="1:4" hidden="1" x14ac:dyDescent="0.3">
      <c r="A368" s="22">
        <v>46035</v>
      </c>
      <c r="B368" t="s">
        <v>127</v>
      </c>
      <c r="C368" t="s">
        <v>130</v>
      </c>
      <c r="D368" s="15" t="s">
        <v>82</v>
      </c>
    </row>
    <row r="369" spans="1:4" hidden="1" x14ac:dyDescent="0.3">
      <c r="A369" s="22">
        <v>46055</v>
      </c>
      <c r="B369" t="s">
        <v>341</v>
      </c>
      <c r="C369" t="s">
        <v>344</v>
      </c>
      <c r="D369" s="15" t="s">
        <v>82</v>
      </c>
    </row>
    <row r="370" spans="1:4" hidden="1" x14ac:dyDescent="0.3">
      <c r="A370" s="22">
        <v>46056</v>
      </c>
      <c r="B370" t="s">
        <v>349</v>
      </c>
      <c r="D370" s="15" t="s">
        <v>82</v>
      </c>
    </row>
    <row r="371" spans="1:4" hidden="1" x14ac:dyDescent="0.3">
      <c r="A371" s="22">
        <v>46008</v>
      </c>
      <c r="B371" t="s">
        <v>84</v>
      </c>
      <c r="D371" s="15" t="s">
        <v>82</v>
      </c>
    </row>
    <row r="372" spans="1:4" hidden="1" x14ac:dyDescent="0.3">
      <c r="A372" s="22">
        <v>46071</v>
      </c>
      <c r="B372" t="s">
        <v>84</v>
      </c>
      <c r="D372" s="15" t="s">
        <v>82</v>
      </c>
    </row>
    <row r="373" spans="1:4" hidden="1" x14ac:dyDescent="0.3">
      <c r="A373" s="22">
        <v>46065</v>
      </c>
      <c r="B373" t="s">
        <v>770</v>
      </c>
      <c r="C373" t="s">
        <v>771</v>
      </c>
      <c r="D373" s="15" t="s">
        <v>82</v>
      </c>
    </row>
    <row r="374" spans="1:4" hidden="1" x14ac:dyDescent="0.3">
      <c r="A374" s="22">
        <v>46008</v>
      </c>
      <c r="B374" t="s">
        <v>85</v>
      </c>
      <c r="D374" s="15" t="s">
        <v>82</v>
      </c>
    </row>
    <row r="375" spans="1:4" hidden="1" x14ac:dyDescent="0.3">
      <c r="A375" s="22">
        <v>46035</v>
      </c>
      <c r="B375" t="s">
        <v>125</v>
      </c>
      <c r="C375" t="s">
        <v>124</v>
      </c>
      <c r="D375" s="15" t="s">
        <v>82</v>
      </c>
    </row>
    <row r="376" spans="1:4" hidden="1" x14ac:dyDescent="0.3">
      <c r="A376" s="22">
        <v>46043</v>
      </c>
      <c r="B376" t="s">
        <v>236</v>
      </c>
      <c r="C376" t="s">
        <v>220</v>
      </c>
      <c r="D376" s="15" t="s">
        <v>82</v>
      </c>
    </row>
    <row r="377" spans="1:4" hidden="1" x14ac:dyDescent="0.3">
      <c r="A377" s="22">
        <v>46129</v>
      </c>
      <c r="B377" t="s">
        <v>1650</v>
      </c>
      <c r="C377" t="s">
        <v>1651</v>
      </c>
      <c r="D377" s="15" t="s">
        <v>82</v>
      </c>
    </row>
    <row r="378" spans="1:4" hidden="1" x14ac:dyDescent="0.3">
      <c r="A378" s="22">
        <v>46044</v>
      </c>
      <c r="B378" t="s">
        <v>237</v>
      </c>
      <c r="C378" t="s">
        <v>226</v>
      </c>
      <c r="D378" s="15" t="s">
        <v>82</v>
      </c>
    </row>
    <row r="379" spans="1:4" hidden="1" x14ac:dyDescent="0.3">
      <c r="A379" s="22">
        <v>46107</v>
      </c>
      <c r="B379" t="s">
        <v>1205</v>
      </c>
      <c r="C379" t="s">
        <v>1208</v>
      </c>
      <c r="D379" s="15" t="s">
        <v>82</v>
      </c>
    </row>
    <row r="380" spans="1:4" hidden="1" x14ac:dyDescent="0.3">
      <c r="A380" s="22">
        <v>46066</v>
      </c>
      <c r="B380" t="s">
        <v>773</v>
      </c>
      <c r="C380" t="s">
        <v>781</v>
      </c>
      <c r="D380" s="15" t="s">
        <v>82</v>
      </c>
    </row>
    <row r="381" spans="1:4" hidden="1" x14ac:dyDescent="0.3">
      <c r="A381" s="22">
        <v>46121</v>
      </c>
      <c r="B381" t="s">
        <v>773</v>
      </c>
      <c r="C381" t="s">
        <v>781</v>
      </c>
      <c r="D381" s="15" t="s">
        <v>82</v>
      </c>
    </row>
    <row r="382" spans="1:4" hidden="1" x14ac:dyDescent="0.3">
      <c r="A382" s="22">
        <v>46041</v>
      </c>
      <c r="B382" t="s">
        <v>253</v>
      </c>
      <c r="C382" t="s">
        <v>215</v>
      </c>
      <c r="D382" s="15" t="s">
        <v>82</v>
      </c>
    </row>
    <row r="383" spans="1:4" hidden="1" x14ac:dyDescent="0.3">
      <c r="A383" s="22">
        <v>46035</v>
      </c>
      <c r="B383" t="s">
        <v>134</v>
      </c>
      <c r="C383" t="s">
        <v>141</v>
      </c>
      <c r="D383" s="15" t="s">
        <v>82</v>
      </c>
    </row>
    <row r="384" spans="1:4" hidden="1" x14ac:dyDescent="0.3">
      <c r="A384" s="22">
        <v>46035</v>
      </c>
      <c r="B384" t="s">
        <v>135</v>
      </c>
      <c r="D384" s="15" t="s">
        <v>82</v>
      </c>
    </row>
    <row r="385" spans="1:4" hidden="1" x14ac:dyDescent="0.3">
      <c r="A385" s="22">
        <v>46077</v>
      </c>
      <c r="B385" t="s">
        <v>332</v>
      </c>
      <c r="C385" t="s">
        <v>867</v>
      </c>
      <c r="D385" s="15" t="s">
        <v>82</v>
      </c>
    </row>
    <row r="386" spans="1:4" hidden="1" x14ac:dyDescent="0.3">
      <c r="A386" s="22">
        <v>46077</v>
      </c>
      <c r="B386" t="s">
        <v>332</v>
      </c>
      <c r="C386" t="s">
        <v>874</v>
      </c>
      <c r="D386" s="15" t="s">
        <v>82</v>
      </c>
    </row>
    <row r="387" spans="1:4" hidden="1" x14ac:dyDescent="0.3">
      <c r="A387" s="22">
        <v>46077</v>
      </c>
      <c r="B387" t="s">
        <v>332</v>
      </c>
      <c r="C387" t="s">
        <v>875</v>
      </c>
      <c r="D387" s="15" t="s">
        <v>82</v>
      </c>
    </row>
    <row r="388" spans="1:4" hidden="1" x14ac:dyDescent="0.3">
      <c r="A388" s="22">
        <v>46077</v>
      </c>
      <c r="B388" t="s">
        <v>332</v>
      </c>
      <c r="C388" t="s">
        <v>876</v>
      </c>
      <c r="D388" s="15" t="s">
        <v>82</v>
      </c>
    </row>
    <row r="389" spans="1:4" hidden="1" x14ac:dyDescent="0.3">
      <c r="A389" s="22">
        <v>46077</v>
      </c>
      <c r="B389" t="s">
        <v>332</v>
      </c>
      <c r="C389" t="s">
        <v>877</v>
      </c>
      <c r="D389" s="15" t="s">
        <v>82</v>
      </c>
    </row>
    <row r="390" spans="1:4" hidden="1" x14ac:dyDescent="0.3">
      <c r="A390" s="22">
        <v>46077</v>
      </c>
      <c r="B390" t="s">
        <v>332</v>
      </c>
      <c r="C390" t="s">
        <v>878</v>
      </c>
      <c r="D390" s="15" t="s">
        <v>82</v>
      </c>
    </row>
    <row r="391" spans="1:4" hidden="1" x14ac:dyDescent="0.3">
      <c r="A391" s="22">
        <v>46052</v>
      </c>
      <c r="B391" t="s">
        <v>332</v>
      </c>
      <c r="D391" s="15" t="s">
        <v>82</v>
      </c>
    </row>
    <row r="392" spans="1:4" hidden="1" x14ac:dyDescent="0.3">
      <c r="A392" s="22">
        <v>46036</v>
      </c>
      <c r="B392" t="s">
        <v>147</v>
      </c>
      <c r="C392" t="s">
        <v>154</v>
      </c>
      <c r="D392" s="15" t="s">
        <v>82</v>
      </c>
    </row>
    <row r="393" spans="1:4" hidden="1" x14ac:dyDescent="0.3">
      <c r="A393" s="22">
        <v>46059</v>
      </c>
      <c r="B393" t="s">
        <v>411</v>
      </c>
      <c r="C393" t="s">
        <v>412</v>
      </c>
      <c r="D393" s="15" t="s">
        <v>82</v>
      </c>
    </row>
    <row r="394" spans="1:4" hidden="1" x14ac:dyDescent="0.3">
      <c r="A394" s="22">
        <v>46036</v>
      </c>
      <c r="B394" t="s">
        <v>146</v>
      </c>
      <c r="C394" t="s">
        <v>153</v>
      </c>
      <c r="D394" s="15" t="s">
        <v>82</v>
      </c>
    </row>
    <row r="395" spans="1:4" hidden="1" x14ac:dyDescent="0.3">
      <c r="A395" s="22">
        <v>46059</v>
      </c>
      <c r="B395" t="s">
        <v>413</v>
      </c>
      <c r="C395" t="s">
        <v>414</v>
      </c>
      <c r="D395" s="15" t="s">
        <v>82</v>
      </c>
    </row>
    <row r="396" spans="1:4" hidden="1" x14ac:dyDescent="0.3">
      <c r="A396" s="22">
        <v>46041</v>
      </c>
      <c r="B396" t="s">
        <v>238</v>
      </c>
      <c r="C396" s="31" t="s">
        <v>201</v>
      </c>
      <c r="D396" s="15" t="s">
        <v>82</v>
      </c>
    </row>
    <row r="397" spans="1:4" hidden="1" x14ac:dyDescent="0.3">
      <c r="A397" s="22">
        <v>46041</v>
      </c>
      <c r="B397" t="s">
        <v>239</v>
      </c>
      <c r="C397" t="s">
        <v>214</v>
      </c>
      <c r="D397" s="15" t="s">
        <v>82</v>
      </c>
    </row>
    <row r="398" spans="1:4" hidden="1" x14ac:dyDescent="0.3">
      <c r="A398" s="22">
        <v>46134</v>
      </c>
      <c r="B398" t="s">
        <v>1700</v>
      </c>
      <c r="C398" t="s">
        <v>1728</v>
      </c>
      <c r="D398" s="15" t="s">
        <v>82</v>
      </c>
    </row>
    <row r="399" spans="1:4" hidden="1" x14ac:dyDescent="0.3">
      <c r="A399" s="22">
        <v>46064</v>
      </c>
      <c r="B399" t="s">
        <v>753</v>
      </c>
      <c r="D399" s="15" t="s">
        <v>82</v>
      </c>
    </row>
    <row r="400" spans="1:4" hidden="1" x14ac:dyDescent="0.3">
      <c r="A400" s="22">
        <v>46128</v>
      </c>
      <c r="B400" t="s">
        <v>1622</v>
      </c>
      <c r="C400" t="s">
        <v>1624</v>
      </c>
      <c r="D400" s="15" t="s">
        <v>82</v>
      </c>
    </row>
    <row r="401" spans="1:4" hidden="1" x14ac:dyDescent="0.3">
      <c r="A401" s="22">
        <v>46036</v>
      </c>
      <c r="B401" t="s">
        <v>149</v>
      </c>
      <c r="C401" t="s">
        <v>156</v>
      </c>
      <c r="D401" s="15" t="s">
        <v>82</v>
      </c>
    </row>
    <row r="402" spans="1:4" hidden="1" x14ac:dyDescent="0.3">
      <c r="A402" s="22">
        <v>46036</v>
      </c>
      <c r="B402" t="s">
        <v>148</v>
      </c>
      <c r="C402" t="s">
        <v>155</v>
      </c>
      <c r="D402" s="15" t="s">
        <v>82</v>
      </c>
    </row>
    <row r="403" spans="1:4" hidden="1" x14ac:dyDescent="0.3">
      <c r="A403" s="22">
        <v>46100</v>
      </c>
      <c r="B403" t="s">
        <v>1156</v>
      </c>
      <c r="C403" t="s">
        <v>1158</v>
      </c>
      <c r="D403" s="15" t="s">
        <v>82</v>
      </c>
    </row>
    <row r="404" spans="1:4" hidden="1" x14ac:dyDescent="0.3">
      <c r="A404" s="22">
        <v>46051</v>
      </c>
      <c r="B404" t="s">
        <v>325</v>
      </c>
      <c r="C404" t="s">
        <v>256</v>
      </c>
      <c r="D404" s="15" t="s">
        <v>82</v>
      </c>
    </row>
    <row r="405" spans="1:4" hidden="1" x14ac:dyDescent="0.3">
      <c r="A405" s="22">
        <v>46051</v>
      </c>
      <c r="B405" t="s">
        <v>325</v>
      </c>
      <c r="C405" t="s">
        <v>326</v>
      </c>
      <c r="D405" s="15" t="s">
        <v>82</v>
      </c>
    </row>
    <row r="406" spans="1:4" hidden="1" x14ac:dyDescent="0.3">
      <c r="A406" s="22">
        <v>46129</v>
      </c>
      <c r="B406" t="s">
        <v>1649</v>
      </c>
      <c r="C406" t="s">
        <v>1652</v>
      </c>
      <c r="D406" s="15" t="s">
        <v>82</v>
      </c>
    </row>
    <row r="407" spans="1:4" hidden="1" x14ac:dyDescent="0.3">
      <c r="A407" s="22">
        <v>46042</v>
      </c>
      <c r="B407" t="s">
        <v>240</v>
      </c>
      <c r="C407" t="s">
        <v>218</v>
      </c>
      <c r="D407" s="15" t="s">
        <v>82</v>
      </c>
    </row>
    <row r="408" spans="1:4" hidden="1" x14ac:dyDescent="0.3">
      <c r="A408" s="22">
        <v>46045</v>
      </c>
      <c r="B408" t="s">
        <v>254</v>
      </c>
      <c r="C408" t="s">
        <v>256</v>
      </c>
      <c r="D408" s="15" t="s">
        <v>82</v>
      </c>
    </row>
    <row r="409" spans="1:4" hidden="1" x14ac:dyDescent="0.3">
      <c r="A409" s="22">
        <v>46120</v>
      </c>
      <c r="B409" t="s">
        <v>1508</v>
      </c>
      <c r="C409" t="s">
        <v>1513</v>
      </c>
      <c r="D409" s="15" t="s">
        <v>82</v>
      </c>
    </row>
    <row r="410" spans="1:4" hidden="1" x14ac:dyDescent="0.3">
      <c r="A410" s="22">
        <v>46114</v>
      </c>
      <c r="B410" t="s">
        <v>1336</v>
      </c>
      <c r="C410" t="s">
        <v>1338</v>
      </c>
      <c r="D410" s="15" t="s">
        <v>82</v>
      </c>
    </row>
    <row r="411" spans="1:4" hidden="1" x14ac:dyDescent="0.3">
      <c r="A411" s="22">
        <v>46098</v>
      </c>
      <c r="B411" t="s">
        <v>1089</v>
      </c>
      <c r="C411" t="s">
        <v>1090</v>
      </c>
      <c r="D411" s="15" t="s">
        <v>82</v>
      </c>
    </row>
    <row r="412" spans="1:4" hidden="1" x14ac:dyDescent="0.3">
      <c r="A412" s="22">
        <v>46085</v>
      </c>
      <c r="B412" t="s">
        <v>972</v>
      </c>
      <c r="C412" t="s">
        <v>975</v>
      </c>
      <c r="D412" s="15" t="s">
        <v>82</v>
      </c>
    </row>
    <row r="413" spans="1:4" hidden="1" x14ac:dyDescent="0.3">
      <c r="A413" s="22">
        <v>46041</v>
      </c>
      <c r="B413" t="s">
        <v>241</v>
      </c>
      <c r="C413" t="s">
        <v>213</v>
      </c>
      <c r="D413" s="15" t="s">
        <v>82</v>
      </c>
    </row>
    <row r="414" spans="1:4" hidden="1" x14ac:dyDescent="0.3">
      <c r="A414" s="22">
        <v>46077</v>
      </c>
      <c r="B414" t="s">
        <v>884</v>
      </c>
      <c r="C414" t="s">
        <v>888</v>
      </c>
      <c r="D414" s="15" t="s">
        <v>82</v>
      </c>
    </row>
    <row r="415" spans="1:4" hidden="1" x14ac:dyDescent="0.3">
      <c r="A415" s="22">
        <v>46122</v>
      </c>
      <c r="B415" t="s">
        <v>1533</v>
      </c>
      <c r="C415" t="s">
        <v>1535</v>
      </c>
      <c r="D415" s="15" t="s">
        <v>82</v>
      </c>
    </row>
    <row r="416" spans="1:4" hidden="1" x14ac:dyDescent="0.3">
      <c r="A416" s="22">
        <v>46037</v>
      </c>
      <c r="B416" t="s">
        <v>167</v>
      </c>
      <c r="C416" t="s">
        <v>170</v>
      </c>
      <c r="D416" s="15" t="s">
        <v>82</v>
      </c>
    </row>
    <row r="417" spans="1:4" hidden="1" x14ac:dyDescent="0.3">
      <c r="A417" s="22">
        <v>46098</v>
      </c>
      <c r="B417" t="s">
        <v>167</v>
      </c>
      <c r="C417" t="s">
        <v>1098</v>
      </c>
      <c r="D417" s="15" t="s">
        <v>82</v>
      </c>
    </row>
    <row r="418" spans="1:4" hidden="1" x14ac:dyDescent="0.3">
      <c r="A418" s="22">
        <v>46037</v>
      </c>
      <c r="B418" t="s">
        <v>242</v>
      </c>
      <c r="C418" t="s">
        <v>171</v>
      </c>
      <c r="D418" s="15" t="s">
        <v>82</v>
      </c>
    </row>
    <row r="419" spans="1:4" hidden="1" x14ac:dyDescent="0.3">
      <c r="A419" s="22">
        <v>46105</v>
      </c>
      <c r="B419" t="s">
        <v>1183</v>
      </c>
      <c r="C419" t="s">
        <v>1184</v>
      </c>
      <c r="D419" s="15" t="s">
        <v>82</v>
      </c>
    </row>
    <row r="420" spans="1:4" hidden="1" x14ac:dyDescent="0.3">
      <c r="A420" s="22">
        <v>46043</v>
      </c>
      <c r="B420" t="s">
        <v>243</v>
      </c>
      <c r="C420" t="s">
        <v>221</v>
      </c>
      <c r="D420" s="15" t="s">
        <v>82</v>
      </c>
    </row>
    <row r="421" spans="1:4" hidden="1" x14ac:dyDescent="0.3">
      <c r="A421" s="22">
        <v>46043</v>
      </c>
      <c r="B421" t="s">
        <v>243</v>
      </c>
      <c r="C421" t="s">
        <v>222</v>
      </c>
      <c r="D421" s="15" t="s">
        <v>82</v>
      </c>
    </row>
    <row r="422" spans="1:4" hidden="1" x14ac:dyDescent="0.3">
      <c r="A422" s="22">
        <v>46078</v>
      </c>
      <c r="B422" t="s">
        <v>894</v>
      </c>
      <c r="C422" t="s">
        <v>909</v>
      </c>
      <c r="D422" s="15" t="s">
        <v>82</v>
      </c>
    </row>
    <row r="423" spans="1:4" hidden="1" x14ac:dyDescent="0.3">
      <c r="A423" s="22">
        <v>46062</v>
      </c>
      <c r="B423" t="s">
        <v>578</v>
      </c>
      <c r="C423" t="s">
        <v>579</v>
      </c>
      <c r="D423" s="15" t="s">
        <v>82</v>
      </c>
    </row>
    <row r="424" spans="1:4" hidden="1" x14ac:dyDescent="0.3">
      <c r="A424" s="22">
        <v>46035</v>
      </c>
      <c r="B424" t="s">
        <v>112</v>
      </c>
      <c r="C424" t="s">
        <v>117</v>
      </c>
      <c r="D424" s="15" t="s">
        <v>82</v>
      </c>
    </row>
    <row r="425" spans="1:4" hidden="1" x14ac:dyDescent="0.3">
      <c r="A425" s="22">
        <v>46059</v>
      </c>
      <c r="B425" t="s">
        <v>410</v>
      </c>
      <c r="C425" t="s">
        <v>415</v>
      </c>
      <c r="D425" s="15" t="s">
        <v>82</v>
      </c>
    </row>
    <row r="426" spans="1:4" hidden="1" x14ac:dyDescent="0.3">
      <c r="A426" s="22">
        <v>46059</v>
      </c>
      <c r="B426" t="s">
        <v>366</v>
      </c>
      <c r="C426" t="s">
        <v>371</v>
      </c>
      <c r="D426" s="15" t="s">
        <v>82</v>
      </c>
    </row>
    <row r="427" spans="1:4" hidden="1" x14ac:dyDescent="0.3">
      <c r="A427" s="22">
        <v>46097</v>
      </c>
      <c r="B427" t="s">
        <v>1083</v>
      </c>
      <c r="C427" t="s">
        <v>1084</v>
      </c>
      <c r="D427" s="15" t="s">
        <v>82</v>
      </c>
    </row>
    <row r="428" spans="1:4" hidden="1" x14ac:dyDescent="0.3">
      <c r="A428" s="22">
        <v>46120</v>
      </c>
      <c r="B428" t="s">
        <v>1498</v>
      </c>
      <c r="C428" t="s">
        <v>1511</v>
      </c>
      <c r="D428" s="15" t="s">
        <v>82</v>
      </c>
    </row>
    <row r="429" spans="1:4" hidden="1" x14ac:dyDescent="0.3">
      <c r="A429" s="22">
        <v>46076</v>
      </c>
      <c r="B429" t="s">
        <v>849</v>
      </c>
      <c r="C429" t="s">
        <v>848</v>
      </c>
      <c r="D429" s="15" t="s">
        <v>82</v>
      </c>
    </row>
    <row r="430" spans="1:4" hidden="1" x14ac:dyDescent="0.3">
      <c r="A430" s="22">
        <v>46078</v>
      </c>
      <c r="B430" t="s">
        <v>911</v>
      </c>
      <c r="C430" t="s">
        <v>912</v>
      </c>
      <c r="D430" s="15" t="s">
        <v>82</v>
      </c>
    </row>
    <row r="431" spans="1:4" hidden="1" x14ac:dyDescent="0.3">
      <c r="A431" s="22">
        <v>46092</v>
      </c>
      <c r="B431" t="s">
        <v>1059</v>
      </c>
      <c r="D431" s="15" t="s">
        <v>82</v>
      </c>
    </row>
    <row r="432" spans="1:4" hidden="1" x14ac:dyDescent="0.3">
      <c r="A432" s="22">
        <v>46037</v>
      </c>
      <c r="B432" t="s">
        <v>1496</v>
      </c>
      <c r="D432" s="15" t="s">
        <v>82</v>
      </c>
    </row>
    <row r="433" spans="1:4" hidden="1" x14ac:dyDescent="0.3">
      <c r="A433" s="22">
        <v>46080</v>
      </c>
      <c r="B433" t="s">
        <v>1497</v>
      </c>
      <c r="D433" s="15" t="s">
        <v>82</v>
      </c>
    </row>
    <row r="434" spans="1:4" hidden="1" x14ac:dyDescent="0.3">
      <c r="A434" s="22">
        <v>46087</v>
      </c>
      <c r="B434" t="s">
        <v>1036</v>
      </c>
      <c r="D434" s="15" t="s">
        <v>82</v>
      </c>
    </row>
    <row r="435" spans="1:4" hidden="1" x14ac:dyDescent="0.3">
      <c r="A435" s="22">
        <v>46092</v>
      </c>
      <c r="B435" t="s">
        <v>1067</v>
      </c>
      <c r="D435" s="15" t="s">
        <v>82</v>
      </c>
    </row>
    <row r="436" spans="1:4" hidden="1" x14ac:dyDescent="0.3">
      <c r="A436" s="22">
        <v>46042</v>
      </c>
      <c r="B436" t="s">
        <v>205</v>
      </c>
      <c r="C436" t="s">
        <v>67</v>
      </c>
      <c r="D436" s="15" t="s">
        <v>82</v>
      </c>
    </row>
    <row r="437" spans="1:4" hidden="1" x14ac:dyDescent="0.3">
      <c r="A437" s="22">
        <v>46036</v>
      </c>
      <c r="B437" t="s">
        <v>294</v>
      </c>
      <c r="D437" s="15" t="s">
        <v>82</v>
      </c>
    </row>
    <row r="438" spans="1:4" hidden="1" x14ac:dyDescent="0.3">
      <c r="A438" s="22">
        <v>46071</v>
      </c>
      <c r="B438" t="s">
        <v>910</v>
      </c>
      <c r="C438" t="s">
        <v>788</v>
      </c>
      <c r="D438" s="15" t="s">
        <v>82</v>
      </c>
    </row>
    <row r="439" spans="1:4" hidden="1" x14ac:dyDescent="0.3">
      <c r="A439" s="22">
        <v>46007</v>
      </c>
      <c r="B439" t="s">
        <v>910</v>
      </c>
      <c r="D439" s="15" t="s">
        <v>82</v>
      </c>
    </row>
    <row r="440" spans="1:4" hidden="1" x14ac:dyDescent="0.3">
      <c r="A440" s="22">
        <v>46052</v>
      </c>
      <c r="B440" t="s">
        <v>910</v>
      </c>
      <c r="D440" s="15" t="s">
        <v>82</v>
      </c>
    </row>
    <row r="441" spans="1:4" hidden="1" x14ac:dyDescent="0.3">
      <c r="A441" s="22">
        <v>46121</v>
      </c>
      <c r="B441" t="s">
        <v>910</v>
      </c>
      <c r="D441" s="15" t="s">
        <v>82</v>
      </c>
    </row>
    <row r="442" spans="1:4" hidden="1" x14ac:dyDescent="0.3">
      <c r="A442" s="22">
        <v>46048</v>
      </c>
      <c r="B442" t="s">
        <v>259</v>
      </c>
      <c r="D442" s="15" t="s">
        <v>82</v>
      </c>
    </row>
    <row r="443" spans="1:4" hidden="1" x14ac:dyDescent="0.3">
      <c r="A443" s="22">
        <v>46083</v>
      </c>
      <c r="B443" t="s">
        <v>953</v>
      </c>
      <c r="C443" t="s">
        <v>954</v>
      </c>
      <c r="D443" s="15" t="s">
        <v>82</v>
      </c>
    </row>
    <row r="444" spans="1:4" hidden="1" x14ac:dyDescent="0.3">
      <c r="A444" s="22">
        <v>46073</v>
      </c>
      <c r="B444" t="s">
        <v>839</v>
      </c>
      <c r="C444" t="s">
        <v>828</v>
      </c>
      <c r="D444" s="15" t="s">
        <v>82</v>
      </c>
    </row>
    <row r="445" spans="1:4" hidden="1" x14ac:dyDescent="0.3">
      <c r="A445" s="22">
        <v>46084</v>
      </c>
      <c r="B445" t="s">
        <v>839</v>
      </c>
      <c r="C445" t="s">
        <v>969</v>
      </c>
      <c r="D445" s="15" t="s">
        <v>82</v>
      </c>
    </row>
    <row r="446" spans="1:4" hidden="1" x14ac:dyDescent="0.3">
      <c r="A446" s="22">
        <v>46057</v>
      </c>
      <c r="B446" t="s">
        <v>354</v>
      </c>
      <c r="C446" t="s">
        <v>353</v>
      </c>
      <c r="D446" s="15" t="s">
        <v>82</v>
      </c>
    </row>
    <row r="447" spans="1:4" hidden="1" x14ac:dyDescent="0.3">
      <c r="A447" s="22">
        <v>46049</v>
      </c>
      <c r="B447" t="s">
        <v>287</v>
      </c>
      <c r="C447" t="s">
        <v>286</v>
      </c>
      <c r="D447" s="15" t="s">
        <v>82</v>
      </c>
    </row>
    <row r="448" spans="1:4" hidden="1" x14ac:dyDescent="0.3">
      <c r="A448" s="22">
        <v>46077</v>
      </c>
      <c r="B448" t="s">
        <v>864</v>
      </c>
      <c r="D448" s="15" t="s">
        <v>82</v>
      </c>
    </row>
    <row r="449" spans="1:4" hidden="1" x14ac:dyDescent="0.3">
      <c r="A449" s="22">
        <v>46134</v>
      </c>
      <c r="B449" t="s">
        <v>1729</v>
      </c>
      <c r="C449" t="s">
        <v>1651</v>
      </c>
      <c r="D449" s="15" t="s">
        <v>82</v>
      </c>
    </row>
    <row r="450" spans="1:4" hidden="1" x14ac:dyDescent="0.3">
      <c r="A450" s="22">
        <v>46135</v>
      </c>
      <c r="B450" t="s">
        <v>1628</v>
      </c>
      <c r="C450" t="s">
        <v>1651</v>
      </c>
      <c r="D450" s="15" t="s">
        <v>82</v>
      </c>
    </row>
    <row r="451" spans="1:4" hidden="1" x14ac:dyDescent="0.3">
      <c r="A451" s="22">
        <v>46135</v>
      </c>
      <c r="B451" t="s">
        <v>1734</v>
      </c>
      <c r="C451" t="s">
        <v>1651</v>
      </c>
      <c r="D451" s="15" t="s">
        <v>82</v>
      </c>
    </row>
    <row r="452" spans="1:4" hidden="1" x14ac:dyDescent="0.3">
      <c r="A452" s="22">
        <v>46135</v>
      </c>
      <c r="B452" t="s">
        <v>1733</v>
      </c>
      <c r="C452" t="s">
        <v>1526</v>
      </c>
      <c r="D452" s="15" t="s">
        <v>82</v>
      </c>
    </row>
    <row r="453" spans="1:4" hidden="1" x14ac:dyDescent="0.3">
      <c r="A453" s="22">
        <v>46135</v>
      </c>
      <c r="B453" t="s">
        <v>1738</v>
      </c>
      <c r="C453" t="s">
        <v>1617</v>
      </c>
      <c r="D453" s="15" t="s">
        <v>82</v>
      </c>
    </row>
    <row r="454" spans="1:4" hidden="1" x14ac:dyDescent="0.3">
      <c r="A454" s="22">
        <v>46135</v>
      </c>
      <c r="B454" t="s">
        <v>1731</v>
      </c>
      <c r="C454" t="s">
        <v>1732</v>
      </c>
      <c r="D454" s="15" t="s">
        <v>82</v>
      </c>
    </row>
    <row r="455" spans="1:4" hidden="1" x14ac:dyDescent="0.3">
      <c r="A455" s="22">
        <v>46135</v>
      </c>
      <c r="B455" t="s">
        <v>1739</v>
      </c>
      <c r="C455" t="s">
        <v>1740</v>
      </c>
      <c r="D455" s="15" t="s">
        <v>82</v>
      </c>
    </row>
    <row r="456" spans="1:4" hidden="1" x14ac:dyDescent="0.3">
      <c r="A456" s="22">
        <v>46135</v>
      </c>
      <c r="B456" t="s">
        <v>1735</v>
      </c>
      <c r="C456" t="s">
        <v>1736</v>
      </c>
      <c r="D456" s="15" t="s">
        <v>82</v>
      </c>
    </row>
    <row r="457" spans="1:4" hidden="1" x14ac:dyDescent="0.3">
      <c r="A457" s="22">
        <v>46135</v>
      </c>
      <c r="B457" t="s">
        <v>1745</v>
      </c>
      <c r="C457" t="s">
        <v>1732</v>
      </c>
      <c r="D457" s="15" t="s">
        <v>82</v>
      </c>
    </row>
    <row r="458" spans="1:4" hidden="1" x14ac:dyDescent="0.3">
      <c r="A458" s="22">
        <v>46135</v>
      </c>
      <c r="B458" t="s">
        <v>1412</v>
      </c>
      <c r="C458" t="s">
        <v>1746</v>
      </c>
      <c r="D458" s="15" t="s">
        <v>82</v>
      </c>
    </row>
    <row r="459" spans="1:4" hidden="1" x14ac:dyDescent="0.3">
      <c r="A459" s="22">
        <v>46135</v>
      </c>
      <c r="B459" t="s">
        <v>1744</v>
      </c>
      <c r="C459" t="s">
        <v>1736</v>
      </c>
      <c r="D459" s="15" t="s">
        <v>82</v>
      </c>
    </row>
    <row r="460" spans="1:4" x14ac:dyDescent="0.3">
      <c r="A460" s="22">
        <v>46087</v>
      </c>
      <c r="B460" t="s">
        <v>1037</v>
      </c>
      <c r="D460" s="15" t="s">
        <v>296</v>
      </c>
    </row>
    <row r="461" spans="1:4" x14ac:dyDescent="0.3">
      <c r="A461" s="22">
        <v>46035</v>
      </c>
      <c r="B461" t="s">
        <v>98</v>
      </c>
      <c r="D461" s="15" t="s">
        <v>296</v>
      </c>
    </row>
    <row r="462" spans="1:4" x14ac:dyDescent="0.3">
      <c r="A462" s="22">
        <v>46050</v>
      </c>
      <c r="B462" t="s">
        <v>295</v>
      </c>
      <c r="D462" s="15" t="s">
        <v>862</v>
      </c>
    </row>
    <row r="463" spans="1:4" x14ac:dyDescent="0.3">
      <c r="A463" s="22">
        <v>46087</v>
      </c>
      <c r="B463" t="s">
        <v>1605</v>
      </c>
      <c r="D463" s="15" t="s">
        <v>862</v>
      </c>
    </row>
    <row r="464" spans="1:4" x14ac:dyDescent="0.3">
      <c r="A464" s="22">
        <v>46077</v>
      </c>
      <c r="B464" t="s">
        <v>1606</v>
      </c>
      <c r="D464" s="15" t="s">
        <v>862</v>
      </c>
    </row>
    <row r="465" spans="1:4" x14ac:dyDescent="0.3">
      <c r="A465" s="22">
        <v>46050</v>
      </c>
      <c r="B465" t="s">
        <v>1604</v>
      </c>
      <c r="D465" s="15" t="s">
        <v>862</v>
      </c>
    </row>
    <row r="466" spans="1:4" x14ac:dyDescent="0.3">
      <c r="A466" s="22">
        <v>46126</v>
      </c>
      <c r="B466" t="s">
        <v>1607</v>
      </c>
      <c r="D466" s="15" t="s">
        <v>862</v>
      </c>
    </row>
    <row r="467" spans="1:4" x14ac:dyDescent="0.3">
      <c r="A467" s="22">
        <v>46071</v>
      </c>
      <c r="B467" t="s">
        <v>1353</v>
      </c>
      <c r="C467" t="s">
        <v>790</v>
      </c>
      <c r="D467" s="15" t="s">
        <v>1690</v>
      </c>
    </row>
    <row r="468" spans="1:4" x14ac:dyDescent="0.3">
      <c r="A468" s="22">
        <v>46132</v>
      </c>
      <c r="B468" t="s">
        <v>1408</v>
      </c>
      <c r="C468" t="s">
        <v>1409</v>
      </c>
      <c r="D468" s="15" t="s">
        <v>1690</v>
      </c>
    </row>
  </sheetData>
  <conditionalFormatting sqref="A2:D468">
    <cfRule type="expression" dxfId="41" priority="8">
      <formula>$D2="PROJECT"</formula>
    </cfRule>
    <cfRule type="expression" dxfId="40" priority="9">
      <formula>$D2="LIMBO"</formula>
    </cfRule>
    <cfRule type="expression" dxfId="39" priority="25">
      <formula>$D2="TODAY"</formula>
    </cfRule>
    <cfRule type="expression" dxfId="38" priority="26">
      <formula>$D2="PENDING"</formula>
    </cfRule>
    <cfRule type="expression" dxfId="37" priority="27">
      <formula>$D2="URGENT"</formula>
    </cfRule>
    <cfRule type="expression" dxfId="36" priority="28">
      <formula>$D2="WAITING"</formula>
    </cfRule>
    <cfRule type="expression" dxfId="35" priority="29">
      <formula>$D2="DONE"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B0B7-5A2A-4BD9-94A6-9E77558AC994}">
  <sheetPr>
    <tabColor theme="3"/>
  </sheetPr>
  <dimension ref="A1:P133"/>
  <sheetViews>
    <sheetView zoomScale="90" zoomScaleNormal="90" workbookViewId="0">
      <pane xSplit="2" ySplit="2" topLeftCell="C111" activePane="bottomRight" state="frozen"/>
      <selection pane="topRight" activeCell="B1" sqref="B1"/>
      <selection pane="bottomLeft" activeCell="A4" sqref="A4"/>
      <selection pane="bottomRight" activeCell="I138" sqref="I138"/>
    </sheetView>
  </sheetViews>
  <sheetFormatPr defaultRowHeight="16.5" x14ac:dyDescent="0.3"/>
  <cols>
    <col min="1" max="1" width="10.25" style="2" customWidth="1"/>
    <col min="2" max="2" width="26.75" style="24" bestFit="1" customWidth="1"/>
    <col min="3" max="3" width="15" bestFit="1" customWidth="1"/>
    <col min="4" max="4" width="14.875" style="25" customWidth="1"/>
    <col min="5" max="5" width="15" style="26" bestFit="1" customWidth="1"/>
    <col min="6" max="6" width="16.125" style="27" bestFit="1" customWidth="1"/>
    <col min="7" max="7" width="14.5" style="28" customWidth="1"/>
    <col min="8" max="8" width="11.125" style="26" bestFit="1" customWidth="1"/>
    <col min="9" max="9" width="23.625" style="2" bestFit="1" customWidth="1"/>
    <col min="10" max="10" width="12.875" style="27" bestFit="1" customWidth="1"/>
    <col min="11" max="11" width="12.875" style="3" bestFit="1" customWidth="1"/>
    <col min="12" max="12" width="12.125" style="3" customWidth="1"/>
    <col min="13" max="13" width="35.75" style="26" bestFit="1" customWidth="1"/>
    <col min="14" max="14" width="35.625" style="36" bestFit="1" customWidth="1"/>
    <col min="15" max="15" width="35.625" style="28" bestFit="1" customWidth="1"/>
    <col min="16" max="16" width="8.25" style="36" bestFit="1" customWidth="1"/>
    <col min="17" max="17" width="35.625" style="3" bestFit="1" customWidth="1"/>
    <col min="18" max="18" width="9" style="3"/>
    <col min="19" max="19" width="11.875" style="3" bestFit="1" customWidth="1"/>
    <col min="20" max="16384" width="9" style="3"/>
  </cols>
  <sheetData>
    <row r="1" spans="1:16" s="62" customFormat="1" ht="17.25" thickBot="1" x14ac:dyDescent="0.35">
      <c r="A1" s="164"/>
      <c r="B1" s="163"/>
      <c r="C1" s="165"/>
      <c r="D1" s="332" t="s">
        <v>361</v>
      </c>
      <c r="E1" s="333"/>
      <c r="F1" s="333"/>
      <c r="G1" s="334" t="s">
        <v>362</v>
      </c>
      <c r="H1" s="335"/>
      <c r="I1" s="335"/>
      <c r="J1" s="335"/>
      <c r="K1" s="61"/>
      <c r="L1" s="61"/>
    </row>
    <row r="2" spans="1:16" x14ac:dyDescent="0.3">
      <c r="A2" s="17" t="s">
        <v>1</v>
      </c>
      <c r="B2" s="16" t="s">
        <v>0</v>
      </c>
      <c r="C2" s="18" t="s">
        <v>10</v>
      </c>
      <c r="D2" s="19" t="s">
        <v>49</v>
      </c>
      <c r="E2" s="20" t="s">
        <v>9</v>
      </c>
      <c r="F2" s="17" t="s">
        <v>358</v>
      </c>
      <c r="G2" s="19" t="s">
        <v>48</v>
      </c>
      <c r="H2" s="19" t="s">
        <v>17</v>
      </c>
      <c r="I2" s="20" t="s">
        <v>291</v>
      </c>
      <c r="J2" s="17" t="s">
        <v>357</v>
      </c>
      <c r="K2" s="17" t="s">
        <v>12</v>
      </c>
      <c r="L2" s="17" t="s">
        <v>11</v>
      </c>
      <c r="M2" s="16" t="s">
        <v>31</v>
      </c>
      <c r="N2" s="3"/>
      <c r="O2" s="3"/>
      <c r="P2" s="3"/>
    </row>
    <row r="3" spans="1:16" x14ac:dyDescent="0.3">
      <c r="A3" s="50">
        <v>427</v>
      </c>
      <c r="B3" s="49" t="s">
        <v>8</v>
      </c>
      <c r="C3" s="51">
        <v>5629</v>
      </c>
      <c r="D3" s="52">
        <v>5329</v>
      </c>
      <c r="E3" s="53">
        <v>3379</v>
      </c>
      <c r="F3" s="52" t="s">
        <v>359</v>
      </c>
      <c r="G3" s="52">
        <v>5</v>
      </c>
      <c r="H3" s="50">
        <v>15</v>
      </c>
      <c r="I3" s="53">
        <v>2250</v>
      </c>
      <c r="J3" s="52" t="s">
        <v>359</v>
      </c>
      <c r="K3" s="32" t="str">
        <f t="shared" ref="K3:K10" si="0">IF(AND(D3&lt;&gt;"", G3&lt;&gt;""), "OK", "")</f>
        <v>OK</v>
      </c>
      <c r="L3" s="32" t="s">
        <v>18</v>
      </c>
      <c r="M3" s="37"/>
      <c r="N3" s="3"/>
      <c r="O3" s="3"/>
      <c r="P3" s="3"/>
    </row>
    <row r="4" spans="1:16" x14ac:dyDescent="0.3">
      <c r="A4" s="50">
        <v>431</v>
      </c>
      <c r="B4" s="49" t="s">
        <v>8</v>
      </c>
      <c r="C4" s="51">
        <v>3842.6</v>
      </c>
      <c r="D4" s="52">
        <v>5330</v>
      </c>
      <c r="E4" s="53">
        <v>1722.3</v>
      </c>
      <c r="F4" s="52" t="s">
        <v>359</v>
      </c>
      <c r="G4" s="52">
        <v>6</v>
      </c>
      <c r="H4" s="50">
        <v>18</v>
      </c>
      <c r="I4" s="53">
        <v>2120</v>
      </c>
      <c r="J4" s="52" t="s">
        <v>359</v>
      </c>
      <c r="K4" s="32" t="str">
        <f t="shared" si="0"/>
        <v>OK</v>
      </c>
      <c r="L4" s="32" t="s">
        <v>19</v>
      </c>
      <c r="M4" s="37"/>
      <c r="N4" s="3"/>
      <c r="O4" s="3"/>
      <c r="P4" s="3"/>
    </row>
    <row r="5" spans="1:16" x14ac:dyDescent="0.3">
      <c r="A5" s="50">
        <v>450</v>
      </c>
      <c r="B5" s="49" t="s">
        <v>4</v>
      </c>
      <c r="C5" s="51">
        <v>1280</v>
      </c>
      <c r="D5" s="52" t="s">
        <v>15</v>
      </c>
      <c r="E5" s="53" t="s">
        <v>15</v>
      </c>
      <c r="F5" s="52" t="s">
        <v>15</v>
      </c>
      <c r="G5" s="52">
        <v>7</v>
      </c>
      <c r="H5" s="50">
        <v>13</v>
      </c>
      <c r="I5" s="53">
        <v>1280</v>
      </c>
      <c r="J5" s="52" t="s">
        <v>359</v>
      </c>
      <c r="K5" s="32" t="str">
        <f t="shared" si="0"/>
        <v>OK</v>
      </c>
      <c r="L5" s="32" t="s">
        <v>22</v>
      </c>
      <c r="M5" s="37"/>
      <c r="N5" s="3"/>
      <c r="O5" s="3"/>
      <c r="P5" s="3"/>
    </row>
    <row r="6" spans="1:16" x14ac:dyDescent="0.3">
      <c r="A6" s="50">
        <v>1227</v>
      </c>
      <c r="B6" s="49" t="s">
        <v>26</v>
      </c>
      <c r="C6" s="51">
        <v>1613</v>
      </c>
      <c r="D6" s="52">
        <v>5349</v>
      </c>
      <c r="E6" s="53">
        <v>723</v>
      </c>
      <c r="F6" s="52" t="s">
        <v>359</v>
      </c>
      <c r="G6" s="52">
        <v>8</v>
      </c>
      <c r="H6" s="50">
        <v>24</v>
      </c>
      <c r="I6" s="53">
        <v>890</v>
      </c>
      <c r="J6" s="52" t="s">
        <v>359</v>
      </c>
      <c r="K6" s="32" t="str">
        <f t="shared" si="0"/>
        <v>OK</v>
      </c>
      <c r="L6" s="32" t="s">
        <v>15</v>
      </c>
      <c r="M6" s="37"/>
      <c r="N6" s="3"/>
      <c r="O6" s="3"/>
      <c r="P6" s="3"/>
    </row>
    <row r="7" spans="1:16" x14ac:dyDescent="0.3">
      <c r="A7" s="50">
        <v>390</v>
      </c>
      <c r="B7" s="49" t="s">
        <v>8</v>
      </c>
      <c r="C7" s="51">
        <v>3586.3</v>
      </c>
      <c r="D7" s="52">
        <v>5257</v>
      </c>
      <c r="E7" s="53">
        <v>1898.8</v>
      </c>
      <c r="F7" s="52" t="s">
        <v>359</v>
      </c>
      <c r="G7" s="52">
        <v>9</v>
      </c>
      <c r="H7" s="50">
        <v>19</v>
      </c>
      <c r="I7" s="53">
        <v>1687.5</v>
      </c>
      <c r="J7" s="52" t="s">
        <v>359</v>
      </c>
      <c r="K7" s="32" t="str">
        <f t="shared" si="0"/>
        <v>OK</v>
      </c>
      <c r="L7" s="32" t="s">
        <v>27</v>
      </c>
      <c r="M7" s="37"/>
      <c r="N7" s="3"/>
      <c r="O7" s="3"/>
      <c r="P7" s="3"/>
    </row>
    <row r="8" spans="1:16" x14ac:dyDescent="0.3">
      <c r="A8" s="50">
        <v>1096</v>
      </c>
      <c r="B8" s="49" t="s">
        <v>4</v>
      </c>
      <c r="C8" s="51">
        <v>1588</v>
      </c>
      <c r="D8" s="52">
        <v>5353</v>
      </c>
      <c r="E8" s="53">
        <v>698</v>
      </c>
      <c r="F8" s="52" t="s">
        <v>359</v>
      </c>
      <c r="G8" s="52">
        <v>12</v>
      </c>
      <c r="H8" s="50">
        <v>27</v>
      </c>
      <c r="I8" s="53">
        <v>890</v>
      </c>
      <c r="J8" s="52" t="s">
        <v>359</v>
      </c>
      <c r="K8" s="32" t="str">
        <f t="shared" si="0"/>
        <v>OK</v>
      </c>
      <c r="L8" s="167" t="s">
        <v>15</v>
      </c>
      <c r="M8" s="37"/>
      <c r="N8" s="3"/>
      <c r="O8" s="3"/>
      <c r="P8" s="3"/>
    </row>
    <row r="9" spans="1:16" x14ac:dyDescent="0.3">
      <c r="A9" s="50">
        <v>55</v>
      </c>
      <c r="B9" s="49" t="s">
        <v>2</v>
      </c>
      <c r="C9" s="51">
        <v>28360.9</v>
      </c>
      <c r="D9" s="52">
        <v>5011</v>
      </c>
      <c r="E9" s="53">
        <v>22940.9</v>
      </c>
      <c r="F9" s="52" t="s">
        <v>359</v>
      </c>
      <c r="G9" s="52">
        <v>13</v>
      </c>
      <c r="H9" s="50">
        <v>28</v>
      </c>
      <c r="I9" s="53">
        <v>5420</v>
      </c>
      <c r="J9" s="52" t="s">
        <v>359</v>
      </c>
      <c r="K9" s="32" t="str">
        <f t="shared" si="0"/>
        <v>OK</v>
      </c>
      <c r="L9" s="32" t="s">
        <v>30</v>
      </c>
      <c r="M9" s="37"/>
      <c r="N9" s="3"/>
      <c r="O9" s="3"/>
      <c r="P9" s="3"/>
    </row>
    <row r="10" spans="1:16" x14ac:dyDescent="0.3">
      <c r="A10" s="50">
        <v>317</v>
      </c>
      <c r="B10" s="49" t="s">
        <v>2</v>
      </c>
      <c r="C10" s="51">
        <v>1590</v>
      </c>
      <c r="D10" s="52" t="s">
        <v>15</v>
      </c>
      <c r="E10" s="53" t="s">
        <v>15</v>
      </c>
      <c r="F10" s="52" t="s">
        <v>15</v>
      </c>
      <c r="G10" s="52">
        <v>14</v>
      </c>
      <c r="H10" s="50">
        <v>29</v>
      </c>
      <c r="I10" s="53">
        <v>1590</v>
      </c>
      <c r="J10" s="52" t="s">
        <v>359</v>
      </c>
      <c r="K10" s="32" t="str">
        <f t="shared" si="0"/>
        <v>OK</v>
      </c>
      <c r="L10" s="32" t="s">
        <v>32</v>
      </c>
      <c r="M10" s="37"/>
      <c r="N10" s="3"/>
      <c r="O10" s="3"/>
      <c r="P10" s="3"/>
    </row>
    <row r="11" spans="1:16" x14ac:dyDescent="0.3">
      <c r="A11" s="50">
        <v>365</v>
      </c>
      <c r="B11" s="49" t="s">
        <v>3</v>
      </c>
      <c r="C11" s="51">
        <v>32346.3</v>
      </c>
      <c r="D11" s="52">
        <v>5328</v>
      </c>
      <c r="E11" s="53">
        <v>27751.3</v>
      </c>
      <c r="F11" s="52" t="s">
        <v>359</v>
      </c>
      <c r="G11" s="52">
        <v>15</v>
      </c>
      <c r="H11" s="50">
        <v>7</v>
      </c>
      <c r="I11" s="53">
        <v>4595</v>
      </c>
      <c r="J11" s="52" t="s">
        <v>57</v>
      </c>
      <c r="K11" s="166" t="s">
        <v>12</v>
      </c>
      <c r="L11" s="166" t="s">
        <v>24</v>
      </c>
      <c r="M11" s="168" t="s">
        <v>360</v>
      </c>
      <c r="N11" s="3"/>
      <c r="O11" s="3"/>
      <c r="P11" s="3"/>
    </row>
    <row r="12" spans="1:16" x14ac:dyDescent="0.3">
      <c r="A12" s="50">
        <v>401</v>
      </c>
      <c r="B12" s="49" t="s">
        <v>2</v>
      </c>
      <c r="C12" s="51">
        <v>33341.4</v>
      </c>
      <c r="D12" s="52">
        <v>5347</v>
      </c>
      <c r="E12" s="53">
        <v>27681.4</v>
      </c>
      <c r="F12" s="52" t="s">
        <v>359</v>
      </c>
      <c r="G12" s="52">
        <v>17</v>
      </c>
      <c r="H12" s="50">
        <v>31</v>
      </c>
      <c r="I12" s="53">
        <v>5660</v>
      </c>
      <c r="J12" s="52" t="s">
        <v>359</v>
      </c>
      <c r="K12" s="32" t="str">
        <f t="shared" ref="K12:K32" si="1">IF(AND(D12&lt;&gt;"", G12&lt;&gt;""), "OK", "")</f>
        <v>OK</v>
      </c>
      <c r="L12" s="32" t="s">
        <v>21</v>
      </c>
      <c r="M12" s="37"/>
      <c r="N12" s="3"/>
      <c r="O12" s="3"/>
      <c r="P12" s="3"/>
    </row>
    <row r="13" spans="1:16" x14ac:dyDescent="0.3">
      <c r="A13" s="50">
        <v>1250</v>
      </c>
      <c r="B13" s="49" t="s">
        <v>38</v>
      </c>
      <c r="C13" s="51">
        <v>890</v>
      </c>
      <c r="D13" s="52" t="s">
        <v>15</v>
      </c>
      <c r="E13" s="53" t="s">
        <v>15</v>
      </c>
      <c r="F13" s="52" t="s">
        <v>15</v>
      </c>
      <c r="G13" s="52">
        <v>18</v>
      </c>
      <c r="H13" s="50">
        <v>32</v>
      </c>
      <c r="I13" s="53">
        <v>890</v>
      </c>
      <c r="J13" s="52" t="s">
        <v>359</v>
      </c>
      <c r="K13" s="32" t="str">
        <f t="shared" si="1"/>
        <v>OK</v>
      </c>
      <c r="L13" s="32" t="s">
        <v>15</v>
      </c>
      <c r="M13" s="37"/>
      <c r="N13" s="3"/>
      <c r="O13" s="3"/>
      <c r="P13" s="3"/>
    </row>
    <row r="14" spans="1:16" x14ac:dyDescent="0.3">
      <c r="A14" s="50">
        <v>424</v>
      </c>
      <c r="B14" s="49" t="s">
        <v>35</v>
      </c>
      <c r="C14" s="51">
        <v>26180</v>
      </c>
      <c r="D14" s="52">
        <v>5354</v>
      </c>
      <c r="E14" s="53">
        <v>10820</v>
      </c>
      <c r="F14" s="52" t="s">
        <v>359</v>
      </c>
      <c r="G14" s="52">
        <v>19</v>
      </c>
      <c r="H14" s="50">
        <v>33</v>
      </c>
      <c r="I14" s="53">
        <v>15360</v>
      </c>
      <c r="J14" s="52" t="s">
        <v>359</v>
      </c>
      <c r="K14" s="32" t="str">
        <f t="shared" si="1"/>
        <v>OK</v>
      </c>
      <c r="L14" s="32" t="s">
        <v>36</v>
      </c>
      <c r="M14" s="37" t="s">
        <v>37</v>
      </c>
      <c r="N14" s="3"/>
      <c r="O14" s="3"/>
      <c r="P14" s="3"/>
    </row>
    <row r="15" spans="1:16" x14ac:dyDescent="0.3">
      <c r="A15" s="50">
        <v>436</v>
      </c>
      <c r="B15" s="49" t="s">
        <v>5</v>
      </c>
      <c r="C15" s="51">
        <v>5180</v>
      </c>
      <c r="D15" s="52">
        <v>5351</v>
      </c>
      <c r="E15" s="53">
        <v>3360</v>
      </c>
      <c r="F15" s="52" t="s">
        <v>359</v>
      </c>
      <c r="G15" s="52">
        <v>21</v>
      </c>
      <c r="H15" s="50">
        <v>35</v>
      </c>
      <c r="I15" s="53">
        <v>1820</v>
      </c>
      <c r="J15" s="52" t="s">
        <v>359</v>
      </c>
      <c r="K15" s="32" t="str">
        <f t="shared" si="1"/>
        <v>OK</v>
      </c>
      <c r="L15" s="32" t="s">
        <v>33</v>
      </c>
      <c r="M15" s="37"/>
      <c r="N15" s="3"/>
      <c r="O15" s="23"/>
      <c r="P15" s="3"/>
    </row>
    <row r="16" spans="1:16" x14ac:dyDescent="0.3">
      <c r="A16" s="50">
        <v>1044</v>
      </c>
      <c r="B16" s="49" t="s">
        <v>4</v>
      </c>
      <c r="C16" s="51">
        <v>1126.76</v>
      </c>
      <c r="D16" s="52" t="s">
        <v>15</v>
      </c>
      <c r="E16" s="53" t="s">
        <v>15</v>
      </c>
      <c r="F16" s="52" t="s">
        <v>15</v>
      </c>
      <c r="G16" s="52">
        <v>22</v>
      </c>
      <c r="H16" s="50">
        <v>36</v>
      </c>
      <c r="I16" s="53">
        <v>1126.76</v>
      </c>
      <c r="J16" s="52" t="s">
        <v>359</v>
      </c>
      <c r="K16" s="32" t="str">
        <f t="shared" si="1"/>
        <v>OK</v>
      </c>
      <c r="L16" s="32" t="s">
        <v>15</v>
      </c>
      <c r="M16" s="37"/>
      <c r="N16" s="3"/>
      <c r="O16" s="3"/>
      <c r="P16" s="3"/>
    </row>
    <row r="17" spans="1:16" x14ac:dyDescent="0.3">
      <c r="A17" s="50">
        <v>1185</v>
      </c>
      <c r="B17" s="49" t="s">
        <v>4</v>
      </c>
      <c r="C17" s="51">
        <v>1790</v>
      </c>
      <c r="D17" s="52" t="s">
        <v>15</v>
      </c>
      <c r="E17" s="53" t="s">
        <v>15</v>
      </c>
      <c r="F17" s="52" t="s">
        <v>15</v>
      </c>
      <c r="G17" s="52">
        <v>23</v>
      </c>
      <c r="H17" s="50">
        <v>37</v>
      </c>
      <c r="I17" s="53">
        <v>1790</v>
      </c>
      <c r="J17" s="52" t="s">
        <v>359</v>
      </c>
      <c r="K17" s="32" t="str">
        <f t="shared" si="1"/>
        <v>OK</v>
      </c>
      <c r="L17" s="32" t="s">
        <v>15</v>
      </c>
      <c r="M17" s="37"/>
      <c r="N17" s="3"/>
      <c r="O17" s="3"/>
      <c r="P17" s="3"/>
    </row>
    <row r="18" spans="1:16" x14ac:dyDescent="0.3">
      <c r="A18" s="50">
        <v>1123</v>
      </c>
      <c r="B18" s="49" t="s">
        <v>2</v>
      </c>
      <c r="C18" s="51">
        <v>29734.3</v>
      </c>
      <c r="D18" s="52">
        <v>5346</v>
      </c>
      <c r="E18" s="53">
        <v>23314.3</v>
      </c>
      <c r="F18" s="52" t="s">
        <v>359</v>
      </c>
      <c r="G18" s="52">
        <v>24</v>
      </c>
      <c r="H18" s="50">
        <v>38</v>
      </c>
      <c r="I18" s="53">
        <v>6420</v>
      </c>
      <c r="J18" s="52" t="s">
        <v>359</v>
      </c>
      <c r="K18" s="32" t="str">
        <f t="shared" si="1"/>
        <v>OK</v>
      </c>
      <c r="L18" s="32" t="s">
        <v>15</v>
      </c>
      <c r="M18" s="37"/>
      <c r="N18" s="3"/>
      <c r="O18" s="3"/>
      <c r="P18" s="3"/>
    </row>
    <row r="19" spans="1:16" x14ac:dyDescent="0.3">
      <c r="A19" s="50">
        <v>770</v>
      </c>
      <c r="B19" s="49" t="s">
        <v>39</v>
      </c>
      <c r="C19" s="51">
        <v>10560</v>
      </c>
      <c r="D19" s="52">
        <v>5355</v>
      </c>
      <c r="E19" s="53">
        <v>5460</v>
      </c>
      <c r="F19" s="52" t="s">
        <v>359</v>
      </c>
      <c r="G19" s="52">
        <v>26</v>
      </c>
      <c r="H19" s="50">
        <v>11</v>
      </c>
      <c r="I19" s="53">
        <v>4284</v>
      </c>
      <c r="J19" s="52" t="s">
        <v>359</v>
      </c>
      <c r="K19" s="32" t="str">
        <f t="shared" si="1"/>
        <v>OK</v>
      </c>
      <c r="L19" s="32" t="s">
        <v>15</v>
      </c>
      <c r="M19" s="37"/>
      <c r="N19" s="3"/>
      <c r="O19" s="3"/>
      <c r="P19" s="3"/>
    </row>
    <row r="20" spans="1:16" x14ac:dyDescent="0.3">
      <c r="A20" s="50">
        <v>1263</v>
      </c>
      <c r="B20" s="49" t="s">
        <v>43</v>
      </c>
      <c r="C20" s="51">
        <v>890</v>
      </c>
      <c r="D20" s="52" t="s">
        <v>15</v>
      </c>
      <c r="E20" s="53" t="s">
        <v>15</v>
      </c>
      <c r="F20" s="52" t="s">
        <v>15</v>
      </c>
      <c r="G20" s="52">
        <v>28</v>
      </c>
      <c r="H20" s="50">
        <v>41</v>
      </c>
      <c r="I20" s="53">
        <v>890</v>
      </c>
      <c r="J20" s="52" t="s">
        <v>359</v>
      </c>
      <c r="K20" s="32" t="str">
        <f t="shared" si="1"/>
        <v>OK</v>
      </c>
      <c r="L20" s="32" t="s">
        <v>15</v>
      </c>
      <c r="M20" s="37"/>
      <c r="N20" s="3"/>
      <c r="O20" s="3"/>
      <c r="P20" s="3"/>
    </row>
    <row r="21" spans="1:16" x14ac:dyDescent="0.3">
      <c r="A21" s="50">
        <v>1145</v>
      </c>
      <c r="B21" s="49" t="s">
        <v>42</v>
      </c>
      <c r="C21" s="51">
        <v>16247.15</v>
      </c>
      <c r="D21" s="52">
        <v>5359</v>
      </c>
      <c r="E21" s="53">
        <v>6447.15</v>
      </c>
      <c r="F21" s="52" t="s">
        <v>359</v>
      </c>
      <c r="G21" s="52">
        <v>29</v>
      </c>
      <c r="H21" s="50">
        <v>42</v>
      </c>
      <c r="I21" s="53">
        <v>9800</v>
      </c>
      <c r="J21" s="52" t="s">
        <v>359</v>
      </c>
      <c r="K21" s="32" t="str">
        <f t="shared" si="1"/>
        <v>OK</v>
      </c>
      <c r="L21" s="32" t="s">
        <v>15</v>
      </c>
      <c r="M21" s="37"/>
      <c r="N21" s="3"/>
      <c r="O21" s="3"/>
      <c r="P21" s="3"/>
    </row>
    <row r="22" spans="1:16" x14ac:dyDescent="0.3">
      <c r="A22" s="50">
        <v>1251</v>
      </c>
      <c r="B22" s="49" t="s">
        <v>34</v>
      </c>
      <c r="C22" s="51">
        <v>1720</v>
      </c>
      <c r="D22" s="52">
        <v>5360</v>
      </c>
      <c r="E22" s="53">
        <v>830</v>
      </c>
      <c r="F22" s="52" t="s">
        <v>359</v>
      </c>
      <c r="G22" s="52">
        <v>30</v>
      </c>
      <c r="H22" s="50">
        <v>43</v>
      </c>
      <c r="I22" s="53">
        <v>890</v>
      </c>
      <c r="J22" s="52" t="s">
        <v>359</v>
      </c>
      <c r="K22" s="32" t="str">
        <f t="shared" si="1"/>
        <v>OK</v>
      </c>
      <c r="L22" s="32" t="s">
        <v>15</v>
      </c>
      <c r="M22" s="37"/>
      <c r="N22" s="3"/>
      <c r="O22" s="3"/>
      <c r="P22" s="3"/>
    </row>
    <row r="23" spans="1:16" x14ac:dyDescent="0.3">
      <c r="A23" s="50">
        <v>1248</v>
      </c>
      <c r="B23" s="49" t="s">
        <v>41</v>
      </c>
      <c r="C23" s="51">
        <v>980</v>
      </c>
      <c r="D23" s="52" t="s">
        <v>15</v>
      </c>
      <c r="E23" s="53" t="s">
        <v>15</v>
      </c>
      <c r="F23" s="52" t="s">
        <v>15</v>
      </c>
      <c r="G23" s="52">
        <v>31</v>
      </c>
      <c r="H23" s="50">
        <v>44</v>
      </c>
      <c r="I23" s="53">
        <v>980</v>
      </c>
      <c r="J23" s="52" t="s">
        <v>359</v>
      </c>
      <c r="K23" s="32" t="str">
        <f t="shared" si="1"/>
        <v>OK</v>
      </c>
      <c r="L23" s="32" t="s">
        <v>15</v>
      </c>
      <c r="M23" s="37"/>
      <c r="N23" s="3"/>
      <c r="O23" s="3"/>
      <c r="P23" s="3"/>
    </row>
    <row r="24" spans="1:16" x14ac:dyDescent="0.3">
      <c r="A24" s="55">
        <v>280</v>
      </c>
      <c r="B24" s="54" t="s">
        <v>28</v>
      </c>
      <c r="C24" s="56">
        <v>32138.53</v>
      </c>
      <c r="D24" s="57">
        <v>5248</v>
      </c>
      <c r="E24" s="58">
        <v>29138.53</v>
      </c>
      <c r="F24" s="57" t="s">
        <v>359</v>
      </c>
      <c r="G24" s="57">
        <v>32</v>
      </c>
      <c r="H24" s="55">
        <v>46</v>
      </c>
      <c r="I24" s="58">
        <v>3000</v>
      </c>
      <c r="J24" s="57" t="s">
        <v>359</v>
      </c>
      <c r="K24" s="32" t="str">
        <f t="shared" si="1"/>
        <v>OK</v>
      </c>
      <c r="L24" s="33" t="s">
        <v>29</v>
      </c>
      <c r="M24" s="38"/>
      <c r="N24" s="3"/>
      <c r="O24" s="3"/>
      <c r="P24" s="3"/>
    </row>
    <row r="25" spans="1:16" x14ac:dyDescent="0.3">
      <c r="A25" s="55">
        <v>1276</v>
      </c>
      <c r="B25" s="54" t="s">
        <v>3</v>
      </c>
      <c r="C25" s="56">
        <v>32346.3</v>
      </c>
      <c r="D25" s="57" t="s">
        <v>15</v>
      </c>
      <c r="E25" s="58" t="s">
        <v>15</v>
      </c>
      <c r="F25" s="57" t="s">
        <v>15</v>
      </c>
      <c r="G25" s="57">
        <v>33</v>
      </c>
      <c r="H25" s="55">
        <v>13</v>
      </c>
      <c r="I25" s="58">
        <v>32346.3</v>
      </c>
      <c r="J25" s="57" t="s">
        <v>359</v>
      </c>
      <c r="K25" s="32" t="str">
        <f t="shared" si="1"/>
        <v>OK</v>
      </c>
      <c r="L25" s="33">
        <v>365</v>
      </c>
      <c r="M25" s="37"/>
      <c r="N25" s="3"/>
      <c r="O25" s="3"/>
      <c r="P25" s="3"/>
    </row>
    <row r="26" spans="1:16" x14ac:dyDescent="0.3">
      <c r="A26" s="55">
        <v>1283</v>
      </c>
      <c r="B26" s="54" t="s">
        <v>46</v>
      </c>
      <c r="C26" s="56">
        <v>920</v>
      </c>
      <c r="D26" s="57" t="s">
        <v>15</v>
      </c>
      <c r="E26" s="58" t="s">
        <v>15</v>
      </c>
      <c r="F26" s="57" t="s">
        <v>15</v>
      </c>
      <c r="G26" s="57">
        <v>36</v>
      </c>
      <c r="H26" s="55">
        <v>51</v>
      </c>
      <c r="I26" s="58">
        <v>920</v>
      </c>
      <c r="J26" s="57" t="s">
        <v>359</v>
      </c>
      <c r="K26" s="32" t="str">
        <f t="shared" si="1"/>
        <v>OK</v>
      </c>
      <c r="L26" s="33" t="s">
        <v>15</v>
      </c>
      <c r="M26" s="38"/>
      <c r="N26" s="3"/>
      <c r="O26" s="3"/>
      <c r="P26" s="3"/>
    </row>
    <row r="27" spans="1:16" x14ac:dyDescent="0.3">
      <c r="A27" s="55">
        <v>1284</v>
      </c>
      <c r="B27" s="54" t="s">
        <v>47</v>
      </c>
      <c r="C27" s="56">
        <v>1315.7</v>
      </c>
      <c r="D27" s="57">
        <v>5374</v>
      </c>
      <c r="E27" s="58">
        <v>665.7</v>
      </c>
      <c r="F27" s="57" t="s">
        <v>359</v>
      </c>
      <c r="G27" s="57">
        <v>37</v>
      </c>
      <c r="H27" s="55">
        <v>52</v>
      </c>
      <c r="I27" s="58">
        <v>650</v>
      </c>
      <c r="J27" s="57" t="s">
        <v>359</v>
      </c>
      <c r="K27" s="32" t="str">
        <f t="shared" si="1"/>
        <v>OK</v>
      </c>
      <c r="L27" s="33" t="s">
        <v>15</v>
      </c>
      <c r="M27" s="38"/>
      <c r="N27" s="3"/>
      <c r="O27" s="3"/>
      <c r="P27" s="3"/>
    </row>
    <row r="28" spans="1:16" x14ac:dyDescent="0.3">
      <c r="A28" s="55">
        <v>327</v>
      </c>
      <c r="B28" s="54" t="s">
        <v>5</v>
      </c>
      <c r="C28" s="56">
        <v>6468.4</v>
      </c>
      <c r="D28" s="57">
        <v>5200</v>
      </c>
      <c r="E28" s="58">
        <v>2918.4</v>
      </c>
      <c r="F28" s="57" t="s">
        <v>359</v>
      </c>
      <c r="G28" s="57">
        <v>38</v>
      </c>
      <c r="H28" s="55">
        <v>15</v>
      </c>
      <c r="I28" s="58">
        <v>3550</v>
      </c>
      <c r="J28" s="57" t="s">
        <v>359</v>
      </c>
      <c r="K28" s="32" t="str">
        <f t="shared" si="1"/>
        <v>OK</v>
      </c>
      <c r="L28" s="33" t="s">
        <v>23</v>
      </c>
      <c r="M28" s="38"/>
      <c r="N28" s="3"/>
      <c r="O28" s="3"/>
      <c r="P28" s="3"/>
    </row>
    <row r="29" spans="1:16" x14ac:dyDescent="0.3">
      <c r="A29" s="55">
        <v>976</v>
      </c>
      <c r="B29" s="54" t="s">
        <v>8</v>
      </c>
      <c r="C29" s="56">
        <v>1442.5</v>
      </c>
      <c r="D29" s="57" t="s">
        <v>15</v>
      </c>
      <c r="E29" s="58" t="s">
        <v>15</v>
      </c>
      <c r="F29" s="57" t="s">
        <v>15</v>
      </c>
      <c r="G29" s="57">
        <v>39</v>
      </c>
      <c r="H29" s="55">
        <v>17</v>
      </c>
      <c r="I29" s="58">
        <v>1442.5</v>
      </c>
      <c r="J29" s="57" t="s">
        <v>359</v>
      </c>
      <c r="K29" s="32" t="str">
        <f t="shared" si="1"/>
        <v>OK</v>
      </c>
      <c r="L29" s="33" t="s">
        <v>15</v>
      </c>
      <c r="M29" s="38"/>
      <c r="N29" s="3"/>
      <c r="O29" s="3"/>
      <c r="P29" s="3"/>
    </row>
    <row r="30" spans="1:16" x14ac:dyDescent="0.3">
      <c r="A30" s="55">
        <v>399</v>
      </c>
      <c r="B30" s="54" t="s">
        <v>5</v>
      </c>
      <c r="C30" s="56">
        <v>7644.5</v>
      </c>
      <c r="D30" s="57">
        <v>5371</v>
      </c>
      <c r="E30" s="58">
        <v>1333.2</v>
      </c>
      <c r="F30" s="57" t="s">
        <v>359</v>
      </c>
      <c r="G30" s="57">
        <v>40</v>
      </c>
      <c r="H30" s="55">
        <v>19</v>
      </c>
      <c r="I30" s="58">
        <v>6311.3</v>
      </c>
      <c r="J30" s="57" t="s">
        <v>359</v>
      </c>
      <c r="K30" s="32" t="str">
        <f t="shared" si="1"/>
        <v>OK</v>
      </c>
      <c r="L30" s="33" t="s">
        <v>44</v>
      </c>
      <c r="M30" s="38"/>
      <c r="N30" s="3"/>
      <c r="O30" s="3"/>
      <c r="P30" s="3"/>
    </row>
    <row r="31" spans="1:16" x14ac:dyDescent="0.3">
      <c r="A31" s="55">
        <v>1259</v>
      </c>
      <c r="B31" s="54" t="s">
        <v>40</v>
      </c>
      <c r="C31" s="56">
        <v>890</v>
      </c>
      <c r="D31" s="57" t="s">
        <v>15</v>
      </c>
      <c r="E31" s="58" t="s">
        <v>15</v>
      </c>
      <c r="F31" s="57" t="s">
        <v>15</v>
      </c>
      <c r="G31" s="57">
        <v>41</v>
      </c>
      <c r="H31" s="55">
        <v>53</v>
      </c>
      <c r="I31" s="58">
        <v>890</v>
      </c>
      <c r="J31" s="57" t="s">
        <v>359</v>
      </c>
      <c r="K31" s="32" t="str">
        <f t="shared" si="1"/>
        <v>OK</v>
      </c>
      <c r="L31" s="33" t="s">
        <v>15</v>
      </c>
      <c r="M31" s="38"/>
      <c r="N31" s="3"/>
      <c r="O31" s="3"/>
      <c r="P31" s="3"/>
    </row>
    <row r="32" spans="1:16" x14ac:dyDescent="0.3">
      <c r="A32" s="55">
        <v>1287</v>
      </c>
      <c r="B32" s="54" t="s">
        <v>52</v>
      </c>
      <c r="C32" s="56">
        <v>890</v>
      </c>
      <c r="D32" s="57" t="s">
        <v>15</v>
      </c>
      <c r="E32" s="58" t="s">
        <v>15</v>
      </c>
      <c r="F32" s="57" t="s">
        <v>15</v>
      </c>
      <c r="G32" s="57">
        <v>42</v>
      </c>
      <c r="H32" s="55">
        <v>54</v>
      </c>
      <c r="I32" s="58">
        <v>890</v>
      </c>
      <c r="J32" s="57" t="s">
        <v>359</v>
      </c>
      <c r="K32" s="33" t="str">
        <f t="shared" si="1"/>
        <v>OK</v>
      </c>
      <c r="L32" s="33" t="s">
        <v>15</v>
      </c>
      <c r="M32" s="38"/>
      <c r="N32" s="3"/>
      <c r="O32" s="3"/>
      <c r="P32" s="3"/>
    </row>
    <row r="33" spans="1:16" x14ac:dyDescent="0.3">
      <c r="A33" s="55">
        <v>1272</v>
      </c>
      <c r="B33" s="54" t="s">
        <v>53</v>
      </c>
      <c r="C33" s="56">
        <v>6160</v>
      </c>
      <c r="D33" s="57">
        <v>5376</v>
      </c>
      <c r="E33" s="58">
        <v>1240</v>
      </c>
      <c r="F33" s="57" t="s">
        <v>57</v>
      </c>
      <c r="G33" s="57">
        <v>43</v>
      </c>
      <c r="H33" s="55">
        <v>55</v>
      </c>
      <c r="I33" s="58">
        <v>4920</v>
      </c>
      <c r="J33" s="57" t="s">
        <v>57</v>
      </c>
      <c r="K33" s="34" t="s">
        <v>139</v>
      </c>
      <c r="L33" s="34" t="s">
        <v>15</v>
      </c>
      <c r="M33" s="39" t="s">
        <v>57</v>
      </c>
      <c r="N33" s="3"/>
      <c r="O33" s="3"/>
      <c r="P33" s="3"/>
    </row>
    <row r="34" spans="1:16" x14ac:dyDescent="0.3">
      <c r="A34" s="55">
        <v>418</v>
      </c>
      <c r="B34" s="54" t="s">
        <v>53</v>
      </c>
      <c r="C34" s="56">
        <v>7445</v>
      </c>
      <c r="D34" s="57">
        <v>5377</v>
      </c>
      <c r="E34" s="58">
        <v>1180</v>
      </c>
      <c r="F34" s="57" t="s">
        <v>57</v>
      </c>
      <c r="G34" s="57">
        <v>44</v>
      </c>
      <c r="H34" s="55">
        <v>56</v>
      </c>
      <c r="I34" s="58">
        <v>6265</v>
      </c>
      <c r="J34" s="57" t="s">
        <v>57</v>
      </c>
      <c r="K34" s="34" t="s">
        <v>139</v>
      </c>
      <c r="L34" s="34" t="s">
        <v>54</v>
      </c>
      <c r="M34" s="39" t="s">
        <v>57</v>
      </c>
      <c r="N34" s="3"/>
      <c r="O34" s="3"/>
      <c r="P34" s="3"/>
    </row>
    <row r="35" spans="1:16" x14ac:dyDescent="0.3">
      <c r="A35" s="55">
        <v>1272</v>
      </c>
      <c r="B35" s="54" t="s">
        <v>53</v>
      </c>
      <c r="C35" s="56">
        <v>6160</v>
      </c>
      <c r="D35" s="57">
        <v>5376</v>
      </c>
      <c r="E35" s="58">
        <v>1240</v>
      </c>
      <c r="F35" s="57" t="s">
        <v>57</v>
      </c>
      <c r="G35" s="57">
        <v>45</v>
      </c>
      <c r="H35" s="55">
        <v>21</v>
      </c>
      <c r="I35" s="58">
        <v>4674</v>
      </c>
      <c r="J35" s="57" t="s">
        <v>57</v>
      </c>
      <c r="K35" s="34" t="s">
        <v>139</v>
      </c>
      <c r="L35" s="34" t="s">
        <v>15</v>
      </c>
      <c r="M35" s="39" t="s">
        <v>57</v>
      </c>
      <c r="N35" s="3"/>
      <c r="O35" s="3"/>
      <c r="P35" s="3"/>
    </row>
    <row r="36" spans="1:16" x14ac:dyDescent="0.3">
      <c r="A36" s="55">
        <v>418</v>
      </c>
      <c r="B36" s="54" t="s">
        <v>53</v>
      </c>
      <c r="C36" s="56">
        <v>7445</v>
      </c>
      <c r="D36" s="57">
        <v>5377</v>
      </c>
      <c r="E36" s="58">
        <v>1180</v>
      </c>
      <c r="F36" s="57" t="s">
        <v>57</v>
      </c>
      <c r="G36" s="57">
        <v>46</v>
      </c>
      <c r="H36" s="55">
        <v>23</v>
      </c>
      <c r="I36" s="58">
        <v>5951.75</v>
      </c>
      <c r="J36" s="57" t="s">
        <v>57</v>
      </c>
      <c r="K36" s="34" t="s">
        <v>139</v>
      </c>
      <c r="L36" s="34" t="s">
        <v>15</v>
      </c>
      <c r="M36" s="39" t="s">
        <v>57</v>
      </c>
      <c r="N36" s="3"/>
      <c r="O36" s="3"/>
      <c r="P36" s="3"/>
    </row>
    <row r="37" spans="1:16" x14ac:dyDescent="0.3">
      <c r="A37" s="55">
        <v>1269</v>
      </c>
      <c r="B37" s="54" t="s">
        <v>45</v>
      </c>
      <c r="C37" s="56">
        <v>890</v>
      </c>
      <c r="D37" s="57" t="s">
        <v>15</v>
      </c>
      <c r="E37" s="58" t="s">
        <v>15</v>
      </c>
      <c r="F37" s="57" t="s">
        <v>15</v>
      </c>
      <c r="G37" s="57">
        <v>47</v>
      </c>
      <c r="H37" s="55">
        <v>57</v>
      </c>
      <c r="I37" s="58">
        <v>890</v>
      </c>
      <c r="J37" s="57" t="s">
        <v>359</v>
      </c>
      <c r="K37" s="33" t="str">
        <f t="shared" ref="K37:K48" si="2">IF(AND(D37&lt;&gt;"", G37&lt;&gt;""), "OK", "")</f>
        <v>OK</v>
      </c>
      <c r="L37" s="33" t="s">
        <v>15</v>
      </c>
      <c r="M37" s="38"/>
      <c r="N37" s="3"/>
      <c r="O37" s="3"/>
      <c r="P37" s="3"/>
    </row>
    <row r="38" spans="1:16" x14ac:dyDescent="0.3">
      <c r="A38" s="55">
        <v>332</v>
      </c>
      <c r="B38" s="54" t="s">
        <v>45</v>
      </c>
      <c r="C38" s="56">
        <v>33874.910000000003</v>
      </c>
      <c r="D38" s="57">
        <v>5372</v>
      </c>
      <c r="E38" s="58">
        <v>28469.41</v>
      </c>
      <c r="F38" s="57" t="s">
        <v>359</v>
      </c>
      <c r="G38" s="57">
        <v>49</v>
      </c>
      <c r="H38" s="55">
        <v>58</v>
      </c>
      <c r="I38" s="58">
        <v>5405.5</v>
      </c>
      <c r="J38" s="57" t="s">
        <v>359</v>
      </c>
      <c r="K38" s="33" t="str">
        <f t="shared" si="2"/>
        <v>OK</v>
      </c>
      <c r="L38" s="33" t="s">
        <v>55</v>
      </c>
      <c r="M38" s="38"/>
      <c r="N38" s="3"/>
      <c r="O38" s="3"/>
      <c r="P38" s="3"/>
    </row>
    <row r="39" spans="1:16" x14ac:dyDescent="0.3">
      <c r="A39" s="55">
        <v>1118</v>
      </c>
      <c r="B39" s="54" t="s">
        <v>45</v>
      </c>
      <c r="C39" s="56">
        <v>17644.3</v>
      </c>
      <c r="D39" s="57">
        <v>5369</v>
      </c>
      <c r="E39" s="58">
        <v>12901</v>
      </c>
      <c r="F39" s="57" t="s">
        <v>359</v>
      </c>
      <c r="G39" s="57">
        <v>50</v>
      </c>
      <c r="H39" s="55">
        <v>59</v>
      </c>
      <c r="I39" s="58">
        <v>4743.3</v>
      </c>
      <c r="J39" s="57" t="s">
        <v>359</v>
      </c>
      <c r="K39" s="33" t="str">
        <f t="shared" si="2"/>
        <v>OK</v>
      </c>
      <c r="L39" s="33"/>
      <c r="M39" s="38"/>
      <c r="N39" s="3"/>
      <c r="O39" s="3"/>
      <c r="P39" s="3"/>
    </row>
    <row r="40" spans="1:16" x14ac:dyDescent="0.3">
      <c r="A40" s="55">
        <v>1272</v>
      </c>
      <c r="B40" s="54" t="s">
        <v>53</v>
      </c>
      <c r="C40" s="56">
        <v>6160</v>
      </c>
      <c r="D40" s="57">
        <v>5378</v>
      </c>
      <c r="E40" s="58">
        <v>1240</v>
      </c>
      <c r="F40" s="57" t="s">
        <v>359</v>
      </c>
      <c r="G40" s="57">
        <v>51</v>
      </c>
      <c r="H40" s="55">
        <v>25</v>
      </c>
      <c r="I40" s="58">
        <v>4132.8</v>
      </c>
      <c r="J40" s="57" t="s">
        <v>359</v>
      </c>
      <c r="K40" s="33" t="str">
        <f t="shared" si="2"/>
        <v>OK</v>
      </c>
      <c r="L40" s="33" t="s">
        <v>15</v>
      </c>
      <c r="M40" s="38"/>
      <c r="N40" s="3"/>
      <c r="O40" s="3"/>
      <c r="P40" s="3"/>
    </row>
    <row r="41" spans="1:16" x14ac:dyDescent="0.3">
      <c r="A41" s="55">
        <v>418</v>
      </c>
      <c r="B41" s="54" t="s">
        <v>53</v>
      </c>
      <c r="C41" s="56">
        <v>7445</v>
      </c>
      <c r="D41" s="57">
        <v>5379</v>
      </c>
      <c r="E41" s="58">
        <v>1180</v>
      </c>
      <c r="F41" s="57" t="s">
        <v>359</v>
      </c>
      <c r="G41" s="57">
        <v>52</v>
      </c>
      <c r="H41" s="55">
        <v>27</v>
      </c>
      <c r="I41" s="58">
        <v>5262.6</v>
      </c>
      <c r="J41" s="57" t="s">
        <v>359</v>
      </c>
      <c r="K41" s="33" t="str">
        <f t="shared" si="2"/>
        <v>OK</v>
      </c>
      <c r="L41" s="33" t="s">
        <v>54</v>
      </c>
      <c r="M41" s="38"/>
      <c r="N41" s="3"/>
      <c r="O41" s="3"/>
      <c r="P41" s="3"/>
    </row>
    <row r="42" spans="1:16" x14ac:dyDescent="0.3">
      <c r="A42" s="55">
        <v>636</v>
      </c>
      <c r="B42" s="54" t="s">
        <v>60</v>
      </c>
      <c r="C42" s="56">
        <v>12523</v>
      </c>
      <c r="D42" s="57">
        <v>5385</v>
      </c>
      <c r="E42" s="58">
        <v>7443</v>
      </c>
      <c r="F42" s="57" t="s">
        <v>359</v>
      </c>
      <c r="G42" s="57">
        <v>53</v>
      </c>
      <c r="H42" s="55">
        <v>60</v>
      </c>
      <c r="I42" s="58">
        <v>5080</v>
      </c>
      <c r="J42" s="57" t="s">
        <v>359</v>
      </c>
      <c r="K42" s="33" t="str">
        <f t="shared" si="2"/>
        <v>OK</v>
      </c>
      <c r="L42" s="33" t="s">
        <v>15</v>
      </c>
      <c r="M42" s="38"/>
      <c r="N42" s="3"/>
      <c r="O42" s="3"/>
      <c r="P42" s="3"/>
    </row>
    <row r="43" spans="1:16" x14ac:dyDescent="0.3">
      <c r="A43" s="55">
        <v>1291</v>
      </c>
      <c r="B43" s="54" t="s">
        <v>40</v>
      </c>
      <c r="C43" s="56">
        <v>890</v>
      </c>
      <c r="D43" s="57" t="s">
        <v>15</v>
      </c>
      <c r="E43" s="58" t="s">
        <v>15</v>
      </c>
      <c r="F43" s="57" t="s">
        <v>15</v>
      </c>
      <c r="G43" s="57">
        <v>54</v>
      </c>
      <c r="H43" s="55">
        <v>61</v>
      </c>
      <c r="I43" s="58">
        <v>890</v>
      </c>
      <c r="J43" s="57" t="s">
        <v>359</v>
      </c>
      <c r="K43" s="33" t="str">
        <f t="shared" si="2"/>
        <v>OK</v>
      </c>
      <c r="L43" s="33" t="s">
        <v>15</v>
      </c>
      <c r="M43" s="38"/>
      <c r="N43" s="3"/>
      <c r="O43" s="3"/>
      <c r="P43" s="3"/>
    </row>
    <row r="44" spans="1:16" x14ac:dyDescent="0.3">
      <c r="A44" s="50">
        <v>1225</v>
      </c>
      <c r="B44" s="49" t="s">
        <v>62</v>
      </c>
      <c r="C44" s="51">
        <v>5710.8</v>
      </c>
      <c r="D44" s="52">
        <v>5389</v>
      </c>
      <c r="E44" s="53">
        <v>380.8</v>
      </c>
      <c r="F44" s="52" t="s">
        <v>359</v>
      </c>
      <c r="G44" s="52">
        <v>55</v>
      </c>
      <c r="H44" s="50">
        <v>29</v>
      </c>
      <c r="I44" s="53">
        <v>5330</v>
      </c>
      <c r="J44" s="52" t="s">
        <v>359</v>
      </c>
      <c r="K44" s="33" t="str">
        <f t="shared" si="2"/>
        <v>OK</v>
      </c>
      <c r="L44" s="32" t="s">
        <v>15</v>
      </c>
      <c r="M44" s="37"/>
      <c r="N44" s="3"/>
      <c r="O44" s="3"/>
      <c r="P44" s="3"/>
    </row>
    <row r="45" spans="1:16" x14ac:dyDescent="0.3">
      <c r="A45" s="55">
        <v>1326</v>
      </c>
      <c r="B45" s="54" t="s">
        <v>63</v>
      </c>
      <c r="C45" s="56">
        <v>890</v>
      </c>
      <c r="D45" s="57" t="s">
        <v>15</v>
      </c>
      <c r="E45" s="58" t="s">
        <v>15</v>
      </c>
      <c r="F45" s="57" t="s">
        <v>15</v>
      </c>
      <c r="G45" s="57">
        <v>56</v>
      </c>
      <c r="H45" s="55">
        <v>63</v>
      </c>
      <c r="I45" s="58">
        <v>890</v>
      </c>
      <c r="J45" s="57" t="s">
        <v>359</v>
      </c>
      <c r="K45" s="33" t="str">
        <f t="shared" si="2"/>
        <v>OK</v>
      </c>
      <c r="L45" s="33" t="s">
        <v>15</v>
      </c>
      <c r="M45" s="38"/>
      <c r="N45" s="3"/>
      <c r="O45" s="3"/>
      <c r="P45" s="3"/>
    </row>
    <row r="46" spans="1:16" x14ac:dyDescent="0.3">
      <c r="A46" s="55">
        <v>983</v>
      </c>
      <c r="B46" s="54" t="s">
        <v>59</v>
      </c>
      <c r="C46" s="56">
        <v>10685</v>
      </c>
      <c r="D46" s="57">
        <v>5383</v>
      </c>
      <c r="E46" s="58">
        <v>6205</v>
      </c>
      <c r="F46" s="57" t="s">
        <v>359</v>
      </c>
      <c r="G46" s="57">
        <v>57</v>
      </c>
      <c r="H46" s="55">
        <v>31</v>
      </c>
      <c r="I46" s="58">
        <v>4480</v>
      </c>
      <c r="J46" s="57" t="s">
        <v>359</v>
      </c>
      <c r="K46" s="33" t="str">
        <f t="shared" si="2"/>
        <v>OK</v>
      </c>
      <c r="L46" s="33" t="s">
        <v>15</v>
      </c>
      <c r="M46" s="38"/>
      <c r="N46" s="3"/>
      <c r="O46" s="3"/>
      <c r="P46" s="3"/>
    </row>
    <row r="47" spans="1:16" x14ac:dyDescent="0.3">
      <c r="A47" s="55">
        <v>393</v>
      </c>
      <c r="B47" s="54" t="s">
        <v>8</v>
      </c>
      <c r="C47" s="56">
        <v>7558</v>
      </c>
      <c r="D47" s="57">
        <v>5292</v>
      </c>
      <c r="E47" s="58">
        <v>6038</v>
      </c>
      <c r="F47" s="57" t="s">
        <v>359</v>
      </c>
      <c r="G47" s="57">
        <v>58</v>
      </c>
      <c r="H47" s="55">
        <v>33</v>
      </c>
      <c r="I47" s="58">
        <v>1520</v>
      </c>
      <c r="J47" s="57" t="s">
        <v>359</v>
      </c>
      <c r="K47" s="33" t="str">
        <f t="shared" si="2"/>
        <v>OK</v>
      </c>
      <c r="L47" s="33" t="s">
        <v>13</v>
      </c>
      <c r="M47" s="38"/>
      <c r="N47" s="3"/>
      <c r="O47" s="3"/>
      <c r="P47" s="3"/>
    </row>
    <row r="48" spans="1:16" x14ac:dyDescent="0.3">
      <c r="A48" s="55">
        <v>1343</v>
      </c>
      <c r="B48" s="54" t="s">
        <v>45</v>
      </c>
      <c r="C48" s="56">
        <v>9344.06</v>
      </c>
      <c r="D48" s="57">
        <v>5393</v>
      </c>
      <c r="E48" s="58">
        <v>8454.06</v>
      </c>
      <c r="F48" s="57" t="s">
        <v>359</v>
      </c>
      <c r="G48" s="57">
        <v>59</v>
      </c>
      <c r="H48" s="55">
        <v>64</v>
      </c>
      <c r="I48" s="58">
        <v>890</v>
      </c>
      <c r="J48" s="57" t="s">
        <v>359</v>
      </c>
      <c r="K48" s="33" t="str">
        <f t="shared" si="2"/>
        <v>OK</v>
      </c>
      <c r="L48" s="33" t="s">
        <v>15</v>
      </c>
      <c r="M48" s="38"/>
      <c r="N48" s="3"/>
      <c r="O48" s="3"/>
      <c r="P48" s="3"/>
    </row>
    <row r="49" spans="1:16" x14ac:dyDescent="0.3">
      <c r="A49" s="55">
        <v>1340</v>
      </c>
      <c r="B49" s="54" t="s">
        <v>86</v>
      </c>
      <c r="C49" s="56">
        <v>890</v>
      </c>
      <c r="D49" s="57" t="s">
        <v>15</v>
      </c>
      <c r="E49" s="58" t="s">
        <v>15</v>
      </c>
      <c r="F49" s="57" t="s">
        <v>15</v>
      </c>
      <c r="G49" s="57">
        <v>60</v>
      </c>
      <c r="H49" s="55">
        <v>65</v>
      </c>
      <c r="I49" s="58">
        <v>890</v>
      </c>
      <c r="J49" s="57" t="s">
        <v>57</v>
      </c>
      <c r="K49" s="34" t="s">
        <v>139</v>
      </c>
      <c r="L49" s="34" t="s">
        <v>15</v>
      </c>
      <c r="M49" s="39" t="s">
        <v>57</v>
      </c>
      <c r="N49" s="3"/>
      <c r="O49" s="3"/>
      <c r="P49" s="3"/>
    </row>
    <row r="50" spans="1:16" x14ac:dyDescent="0.3">
      <c r="A50" s="55">
        <v>1328</v>
      </c>
      <c r="B50" s="54" t="s">
        <v>87</v>
      </c>
      <c r="C50" s="56">
        <v>2930</v>
      </c>
      <c r="D50" s="57" t="s">
        <v>15</v>
      </c>
      <c r="E50" s="58" t="s">
        <v>15</v>
      </c>
      <c r="F50" s="57" t="s">
        <v>15</v>
      </c>
      <c r="G50" s="57">
        <v>61</v>
      </c>
      <c r="H50" s="55">
        <v>66</v>
      </c>
      <c r="I50" s="58">
        <v>2930</v>
      </c>
      <c r="J50" s="57" t="s">
        <v>57</v>
      </c>
      <c r="K50" s="34" t="s">
        <v>139</v>
      </c>
      <c r="L50" s="34" t="s">
        <v>15</v>
      </c>
      <c r="M50" s="39" t="s">
        <v>57</v>
      </c>
      <c r="N50" s="3"/>
      <c r="O50" s="3"/>
      <c r="P50" s="3"/>
    </row>
    <row r="51" spans="1:16" x14ac:dyDescent="0.3">
      <c r="A51" s="55">
        <v>1328</v>
      </c>
      <c r="B51" s="54" t="s">
        <v>87</v>
      </c>
      <c r="C51" s="56">
        <v>2930</v>
      </c>
      <c r="D51" s="57" t="s">
        <v>15</v>
      </c>
      <c r="E51" s="58" t="s">
        <v>15</v>
      </c>
      <c r="F51" s="57" t="s">
        <v>15</v>
      </c>
      <c r="G51" s="57">
        <v>62</v>
      </c>
      <c r="H51" s="55">
        <v>37</v>
      </c>
      <c r="I51" s="58">
        <v>2930</v>
      </c>
      <c r="J51" s="57" t="s">
        <v>138</v>
      </c>
      <c r="K51" s="34" t="s">
        <v>139</v>
      </c>
      <c r="L51" s="34" t="s">
        <v>15</v>
      </c>
      <c r="M51" s="39" t="s">
        <v>138</v>
      </c>
      <c r="N51" s="3"/>
      <c r="O51" s="3"/>
      <c r="P51" s="3"/>
    </row>
    <row r="52" spans="1:16" x14ac:dyDescent="0.3">
      <c r="A52" s="55">
        <v>1352</v>
      </c>
      <c r="B52" s="54" t="s">
        <v>88</v>
      </c>
      <c r="C52" s="56">
        <v>1540</v>
      </c>
      <c r="D52" s="57">
        <v>5397</v>
      </c>
      <c r="E52" s="58">
        <v>590</v>
      </c>
      <c r="F52" s="57" t="s">
        <v>359</v>
      </c>
      <c r="G52" s="57">
        <v>63</v>
      </c>
      <c r="H52" s="55">
        <v>68</v>
      </c>
      <c r="I52" s="58">
        <v>950</v>
      </c>
      <c r="J52" s="57" t="s">
        <v>359</v>
      </c>
      <c r="K52" s="33" t="str">
        <f>IF(AND(D52&lt;&gt;"", G52&lt;&gt;""), "OK", "")</f>
        <v>OK</v>
      </c>
      <c r="L52" s="33" t="s">
        <v>15</v>
      </c>
      <c r="M52" s="38"/>
      <c r="N52" s="3"/>
      <c r="O52" s="3"/>
      <c r="P52" s="3"/>
    </row>
    <row r="53" spans="1:16" x14ac:dyDescent="0.3">
      <c r="A53" s="55">
        <v>1172</v>
      </c>
      <c r="B53" s="54" t="s">
        <v>94</v>
      </c>
      <c r="C53" s="56">
        <v>1945</v>
      </c>
      <c r="D53" s="57">
        <v>5400</v>
      </c>
      <c r="E53" s="58">
        <v>995</v>
      </c>
      <c r="F53" s="57" t="s">
        <v>359</v>
      </c>
      <c r="G53" s="57">
        <v>64</v>
      </c>
      <c r="H53" s="55">
        <v>69</v>
      </c>
      <c r="I53" s="58">
        <v>950</v>
      </c>
      <c r="J53" s="57" t="s">
        <v>359</v>
      </c>
      <c r="K53" s="33" t="str">
        <f>IF(AND(D53&lt;&gt;"", G53&lt;&gt;""), "OK", "")</f>
        <v>OK</v>
      </c>
      <c r="L53" s="33" t="s">
        <v>15</v>
      </c>
      <c r="M53" s="38"/>
      <c r="N53" s="3"/>
      <c r="O53" s="3"/>
      <c r="P53" s="3"/>
    </row>
    <row r="54" spans="1:16" x14ac:dyDescent="0.3">
      <c r="A54" s="55">
        <v>1172</v>
      </c>
      <c r="B54" s="54" t="s">
        <v>94</v>
      </c>
      <c r="C54" s="56">
        <v>1945</v>
      </c>
      <c r="D54" s="57">
        <v>5427</v>
      </c>
      <c r="E54" s="58">
        <v>995</v>
      </c>
      <c r="F54" s="57" t="s">
        <v>359</v>
      </c>
      <c r="G54" s="57">
        <v>64</v>
      </c>
      <c r="H54" s="55">
        <v>69</v>
      </c>
      <c r="I54" s="58">
        <v>950</v>
      </c>
      <c r="J54" s="57" t="s">
        <v>359</v>
      </c>
      <c r="K54" s="33" t="s">
        <v>12</v>
      </c>
      <c r="L54" s="33">
        <v>5400</v>
      </c>
      <c r="M54" s="38" t="s">
        <v>323</v>
      </c>
      <c r="N54" s="3"/>
      <c r="O54" s="3"/>
      <c r="P54" s="3"/>
    </row>
    <row r="55" spans="1:16" x14ac:dyDescent="0.3">
      <c r="A55" s="55">
        <v>1172</v>
      </c>
      <c r="B55" s="54" t="s">
        <v>95</v>
      </c>
      <c r="C55" s="56">
        <v>1945</v>
      </c>
      <c r="D55" s="57">
        <v>5433</v>
      </c>
      <c r="E55" s="58">
        <v>995</v>
      </c>
      <c r="F55" s="57" t="s">
        <v>359</v>
      </c>
      <c r="G55" s="57">
        <v>64</v>
      </c>
      <c r="H55" s="55">
        <v>69</v>
      </c>
      <c r="I55" s="58">
        <v>950</v>
      </c>
      <c r="J55" s="57" t="s">
        <v>359</v>
      </c>
      <c r="K55" s="33" t="s">
        <v>12</v>
      </c>
      <c r="L55" s="33" t="s">
        <v>15</v>
      </c>
      <c r="M55" s="38"/>
      <c r="N55" s="3"/>
      <c r="O55" s="3"/>
      <c r="P55" s="3"/>
    </row>
    <row r="56" spans="1:16" x14ac:dyDescent="0.3">
      <c r="A56" s="55">
        <v>1293</v>
      </c>
      <c r="B56" s="54" t="s">
        <v>95</v>
      </c>
      <c r="C56" s="56">
        <v>1068</v>
      </c>
      <c r="D56" s="57">
        <v>5401</v>
      </c>
      <c r="E56" s="58">
        <v>178</v>
      </c>
      <c r="F56" s="57" t="s">
        <v>359</v>
      </c>
      <c r="G56" s="57">
        <v>65</v>
      </c>
      <c r="H56" s="55">
        <v>39</v>
      </c>
      <c r="I56" s="58">
        <v>747.6</v>
      </c>
      <c r="J56" s="57" t="s">
        <v>359</v>
      </c>
      <c r="K56" s="33" t="str">
        <f>IF(AND(D56&lt;&gt;"", G56&lt;&gt;""), "OK", "")</f>
        <v>OK</v>
      </c>
      <c r="L56" s="33" t="s">
        <v>15</v>
      </c>
      <c r="M56" s="38"/>
      <c r="N56" s="3"/>
      <c r="O56" s="3"/>
      <c r="P56" s="3"/>
    </row>
    <row r="57" spans="1:16" x14ac:dyDescent="0.3">
      <c r="A57" s="55">
        <v>1293</v>
      </c>
      <c r="B57" s="54" t="s">
        <v>95</v>
      </c>
      <c r="C57" s="56">
        <v>1068</v>
      </c>
      <c r="D57" s="57">
        <v>5428</v>
      </c>
      <c r="E57" s="58">
        <v>178</v>
      </c>
      <c r="F57" s="57" t="s">
        <v>359</v>
      </c>
      <c r="G57" s="57">
        <v>65</v>
      </c>
      <c r="H57" s="55">
        <v>39</v>
      </c>
      <c r="I57" s="58">
        <v>890</v>
      </c>
      <c r="J57" s="57" t="s">
        <v>359</v>
      </c>
      <c r="K57" s="33" t="s">
        <v>12</v>
      </c>
      <c r="L57" s="33">
        <v>5401</v>
      </c>
      <c r="M57" s="38" t="s">
        <v>322</v>
      </c>
      <c r="N57" s="3"/>
      <c r="O57" s="3"/>
      <c r="P57" s="3"/>
    </row>
    <row r="58" spans="1:16" x14ac:dyDescent="0.3">
      <c r="A58" s="55">
        <v>1293</v>
      </c>
      <c r="B58" s="54" t="s">
        <v>94</v>
      </c>
      <c r="C58" s="56">
        <v>1068</v>
      </c>
      <c r="D58" s="57">
        <v>5434</v>
      </c>
      <c r="E58" s="58">
        <v>178</v>
      </c>
      <c r="F58" s="57" t="s">
        <v>359</v>
      </c>
      <c r="G58" s="57">
        <v>65</v>
      </c>
      <c r="H58" s="55">
        <v>39</v>
      </c>
      <c r="I58" s="58">
        <v>747.6</v>
      </c>
      <c r="J58" s="57" t="s">
        <v>359</v>
      </c>
      <c r="K58" s="33" t="s">
        <v>12</v>
      </c>
      <c r="L58" s="33" t="s">
        <v>15</v>
      </c>
      <c r="M58" s="38" t="s">
        <v>279</v>
      </c>
      <c r="N58" s="3"/>
      <c r="O58" s="3"/>
      <c r="P58" s="3"/>
    </row>
    <row r="59" spans="1:16" x14ac:dyDescent="0.3">
      <c r="A59" s="55">
        <v>1328</v>
      </c>
      <c r="B59" s="54" t="s">
        <v>87</v>
      </c>
      <c r="C59" s="56">
        <v>2930</v>
      </c>
      <c r="D59" s="57" t="s">
        <v>15</v>
      </c>
      <c r="E59" s="58" t="s">
        <v>15</v>
      </c>
      <c r="F59" s="57" t="s">
        <v>15</v>
      </c>
      <c r="G59" s="57">
        <v>66</v>
      </c>
      <c r="H59" s="55">
        <v>41</v>
      </c>
      <c r="I59" s="58">
        <v>2930</v>
      </c>
      <c r="J59" s="57" t="s">
        <v>359</v>
      </c>
      <c r="K59" s="33" t="s">
        <v>12</v>
      </c>
      <c r="L59" s="33" t="s">
        <v>137</v>
      </c>
      <c r="M59" s="38"/>
      <c r="N59" s="3"/>
      <c r="O59" s="3"/>
      <c r="P59" s="3"/>
    </row>
    <row r="60" spans="1:16" x14ac:dyDescent="0.3">
      <c r="A60" s="55">
        <v>343</v>
      </c>
      <c r="B60" s="54" t="s">
        <v>162</v>
      </c>
      <c r="C60" s="56">
        <v>12090</v>
      </c>
      <c r="D60" s="57" t="s">
        <v>15</v>
      </c>
      <c r="E60" s="58" t="s">
        <v>15</v>
      </c>
      <c r="F60" s="57" t="s">
        <v>15</v>
      </c>
      <c r="G60" s="57">
        <v>67</v>
      </c>
      <c r="H60" s="55">
        <v>43</v>
      </c>
      <c r="I60" s="58">
        <v>12090</v>
      </c>
      <c r="J60" s="57" t="s">
        <v>359</v>
      </c>
      <c r="K60" s="33" t="s">
        <v>12</v>
      </c>
      <c r="L60" s="33" t="s">
        <v>163</v>
      </c>
      <c r="M60" s="38"/>
      <c r="N60" s="3"/>
      <c r="O60" s="3"/>
      <c r="P60" s="3"/>
    </row>
    <row r="61" spans="1:16" x14ac:dyDescent="0.3">
      <c r="A61" s="55">
        <v>1340</v>
      </c>
      <c r="B61" s="54" t="s">
        <v>86</v>
      </c>
      <c r="C61" s="56">
        <v>890</v>
      </c>
      <c r="D61" s="57" t="s">
        <v>15</v>
      </c>
      <c r="E61" s="58" t="s">
        <v>15</v>
      </c>
      <c r="F61" s="57" t="s">
        <v>15</v>
      </c>
      <c r="G61" s="57">
        <v>68</v>
      </c>
      <c r="H61" s="55">
        <v>47</v>
      </c>
      <c r="I61" s="58">
        <v>890</v>
      </c>
      <c r="J61" s="57" t="s">
        <v>359</v>
      </c>
      <c r="K61" s="33" t="s">
        <v>12</v>
      </c>
      <c r="L61" s="33" t="s">
        <v>15</v>
      </c>
      <c r="M61" s="38"/>
      <c r="N61" s="3"/>
      <c r="O61" s="3"/>
      <c r="P61" s="3"/>
    </row>
    <row r="62" spans="1:16" x14ac:dyDescent="0.3">
      <c r="A62" s="55">
        <v>1174</v>
      </c>
      <c r="B62" s="54" t="s">
        <v>165</v>
      </c>
      <c r="C62" s="56">
        <v>2243.6</v>
      </c>
      <c r="D62" s="57">
        <v>5404</v>
      </c>
      <c r="E62" s="58">
        <v>1353.6</v>
      </c>
      <c r="F62" s="57" t="s">
        <v>359</v>
      </c>
      <c r="G62" s="57">
        <v>69</v>
      </c>
      <c r="H62" s="55">
        <v>49</v>
      </c>
      <c r="I62" s="58">
        <v>890</v>
      </c>
      <c r="J62" s="57" t="s">
        <v>359</v>
      </c>
      <c r="K62" s="33" t="s">
        <v>12</v>
      </c>
      <c r="L62" s="33"/>
      <c r="M62" s="38"/>
      <c r="N62" s="3"/>
      <c r="O62" s="3"/>
      <c r="P62" s="3"/>
    </row>
    <row r="63" spans="1:16" x14ac:dyDescent="0.3">
      <c r="A63" s="55">
        <v>1193</v>
      </c>
      <c r="B63" s="54" t="s">
        <v>4</v>
      </c>
      <c r="C63" s="56">
        <v>27710.5</v>
      </c>
      <c r="D63" s="57">
        <v>5396</v>
      </c>
      <c r="E63" s="58">
        <v>23420.5</v>
      </c>
      <c r="F63" s="57" t="s">
        <v>359</v>
      </c>
      <c r="G63" s="57">
        <v>70</v>
      </c>
      <c r="H63" s="55">
        <v>53</v>
      </c>
      <c r="I63" s="58">
        <v>4290</v>
      </c>
      <c r="J63" s="57" t="s">
        <v>359</v>
      </c>
      <c r="K63" s="33" t="str">
        <f>IF(AND(D63&lt;&gt;"", G63&lt;&gt;""), "OK", "")</f>
        <v>OK</v>
      </c>
      <c r="L63" s="33" t="s">
        <v>15</v>
      </c>
      <c r="M63" s="38" t="s">
        <v>279</v>
      </c>
      <c r="N63" s="3"/>
      <c r="O63" s="3"/>
      <c r="P63" s="3"/>
    </row>
    <row r="64" spans="1:16" x14ac:dyDescent="0.3">
      <c r="A64" s="50">
        <v>1375</v>
      </c>
      <c r="B64" s="49" t="s">
        <v>202</v>
      </c>
      <c r="C64" s="51">
        <v>2550</v>
      </c>
      <c r="D64" s="52" t="s">
        <v>15</v>
      </c>
      <c r="E64" s="53" t="s">
        <v>15</v>
      </c>
      <c r="F64" s="52" t="s">
        <v>15</v>
      </c>
      <c r="G64" s="52">
        <v>71</v>
      </c>
      <c r="H64" s="50">
        <v>55</v>
      </c>
      <c r="I64" s="53">
        <v>2550</v>
      </c>
      <c r="J64" s="52" t="s">
        <v>359</v>
      </c>
      <c r="K64" s="33" t="s">
        <v>12</v>
      </c>
      <c r="L64" s="32"/>
      <c r="M64" s="37"/>
      <c r="N64" s="3"/>
      <c r="O64" s="3"/>
      <c r="P64" s="3"/>
    </row>
    <row r="65" spans="1:16" x14ac:dyDescent="0.3">
      <c r="A65" s="55">
        <v>1323</v>
      </c>
      <c r="B65" s="54" t="s">
        <v>42</v>
      </c>
      <c r="C65" s="56">
        <v>2100</v>
      </c>
      <c r="D65" s="57">
        <v>5408</v>
      </c>
      <c r="E65" s="58">
        <v>1650</v>
      </c>
      <c r="F65" s="57" t="s">
        <v>359</v>
      </c>
      <c r="G65" s="57">
        <v>72</v>
      </c>
      <c r="H65" s="55">
        <v>57</v>
      </c>
      <c r="I65" s="58">
        <v>450</v>
      </c>
      <c r="J65" s="57" t="s">
        <v>359</v>
      </c>
      <c r="K65" s="33" t="s">
        <v>12</v>
      </c>
      <c r="L65" s="33" t="s">
        <v>15</v>
      </c>
      <c r="M65" s="38"/>
      <c r="N65" s="3"/>
      <c r="O65" s="3"/>
      <c r="P65" s="3"/>
    </row>
    <row r="66" spans="1:16" x14ac:dyDescent="0.3">
      <c r="A66" s="55">
        <v>1130</v>
      </c>
      <c r="B66" s="54" t="s">
        <v>42</v>
      </c>
      <c r="C66" s="56">
        <v>6763</v>
      </c>
      <c r="D66" s="57">
        <v>5409</v>
      </c>
      <c r="E66" s="58">
        <v>3073</v>
      </c>
      <c r="F66" s="57" t="s">
        <v>359</v>
      </c>
      <c r="G66" s="57">
        <v>73</v>
      </c>
      <c r="H66" s="55">
        <v>59</v>
      </c>
      <c r="I66" s="58">
        <v>3690</v>
      </c>
      <c r="J66" s="57" t="s">
        <v>359</v>
      </c>
      <c r="K66" s="33" t="s">
        <v>12</v>
      </c>
      <c r="L66" s="33">
        <v>1145</v>
      </c>
      <c r="M66" s="38"/>
      <c r="N66" s="3"/>
      <c r="O66" s="3"/>
      <c r="P66" s="3"/>
    </row>
    <row r="67" spans="1:16" x14ac:dyDescent="0.3">
      <c r="A67" s="55">
        <v>1369</v>
      </c>
      <c r="B67" s="54" t="s">
        <v>203</v>
      </c>
      <c r="C67" s="56">
        <v>890</v>
      </c>
      <c r="D67" s="57" t="s">
        <v>15</v>
      </c>
      <c r="E67" s="58" t="s">
        <v>15</v>
      </c>
      <c r="F67" s="57" t="s">
        <v>15</v>
      </c>
      <c r="G67" s="57">
        <v>74</v>
      </c>
      <c r="H67" s="55">
        <v>61</v>
      </c>
      <c r="I67" s="58">
        <v>890</v>
      </c>
      <c r="J67" s="57" t="s">
        <v>359</v>
      </c>
      <c r="K67" s="33" t="s">
        <v>12</v>
      </c>
      <c r="L67" s="33" t="s">
        <v>15</v>
      </c>
      <c r="M67" s="38"/>
      <c r="N67" s="3"/>
      <c r="O67" s="3"/>
      <c r="P67" s="3"/>
    </row>
    <row r="68" spans="1:16" x14ac:dyDescent="0.3">
      <c r="A68" s="55">
        <v>916</v>
      </c>
      <c r="B68" s="54" t="s">
        <v>204</v>
      </c>
      <c r="C68" s="56">
        <v>24146.1</v>
      </c>
      <c r="D68" s="57">
        <v>5410</v>
      </c>
      <c r="E68" s="58">
        <v>13006.1</v>
      </c>
      <c r="F68" s="57" t="s">
        <v>359</v>
      </c>
      <c r="G68" s="57">
        <v>75</v>
      </c>
      <c r="H68" s="55">
        <v>63</v>
      </c>
      <c r="I68" s="58">
        <v>11140</v>
      </c>
      <c r="J68" s="57" t="s">
        <v>359</v>
      </c>
      <c r="K68" s="33" t="s">
        <v>12</v>
      </c>
      <c r="L68" s="33"/>
      <c r="M68" s="38" t="s">
        <v>279</v>
      </c>
      <c r="N68" s="3"/>
      <c r="O68" s="3"/>
      <c r="P68" s="3"/>
    </row>
    <row r="69" spans="1:16" x14ac:dyDescent="0.3">
      <c r="A69" s="55">
        <v>984</v>
      </c>
      <c r="B69" s="54" t="s">
        <v>59</v>
      </c>
      <c r="C69" s="56">
        <v>19700</v>
      </c>
      <c r="D69" s="57">
        <v>5411</v>
      </c>
      <c r="E69" s="58">
        <v>12410</v>
      </c>
      <c r="F69" s="57" t="s">
        <v>359</v>
      </c>
      <c r="G69" s="57">
        <v>76</v>
      </c>
      <c r="H69" s="55">
        <v>65</v>
      </c>
      <c r="I69" s="58">
        <v>7290</v>
      </c>
      <c r="J69" s="57" t="s">
        <v>57</v>
      </c>
      <c r="K69" s="33" t="s">
        <v>139</v>
      </c>
      <c r="L69" s="33" t="s">
        <v>15</v>
      </c>
      <c r="M69" s="38" t="s">
        <v>343</v>
      </c>
      <c r="N69" s="3"/>
      <c r="O69" s="3"/>
      <c r="P69" s="3"/>
    </row>
    <row r="70" spans="1:16" x14ac:dyDescent="0.3">
      <c r="A70" s="55">
        <v>866</v>
      </c>
      <c r="B70" s="54" t="s">
        <v>207</v>
      </c>
      <c r="C70" s="56">
        <v>33440</v>
      </c>
      <c r="D70" s="57">
        <v>5412</v>
      </c>
      <c r="E70" s="58">
        <v>22220</v>
      </c>
      <c r="F70" s="57" t="s">
        <v>359</v>
      </c>
      <c r="G70" s="57">
        <v>77</v>
      </c>
      <c r="H70" s="55">
        <v>67</v>
      </c>
      <c r="I70" s="58">
        <v>11220</v>
      </c>
      <c r="J70" s="57" t="s">
        <v>57</v>
      </c>
      <c r="K70" s="33" t="s">
        <v>139</v>
      </c>
      <c r="L70" s="33" t="s">
        <v>15</v>
      </c>
      <c r="M70" s="38" t="s">
        <v>342</v>
      </c>
      <c r="N70" s="3"/>
      <c r="O70" s="3"/>
      <c r="P70" s="3"/>
    </row>
    <row r="71" spans="1:16" x14ac:dyDescent="0.3">
      <c r="A71" s="55" t="s">
        <v>15</v>
      </c>
      <c r="B71" s="54" t="s">
        <v>68</v>
      </c>
      <c r="C71" s="56">
        <v>8279.0400000000009</v>
      </c>
      <c r="D71" s="57" t="s">
        <v>15</v>
      </c>
      <c r="E71" s="58" t="s">
        <v>15</v>
      </c>
      <c r="F71" s="57" t="s">
        <v>15</v>
      </c>
      <c r="G71" s="57">
        <v>78</v>
      </c>
      <c r="H71" s="55">
        <v>69</v>
      </c>
      <c r="I71" s="58">
        <v>8279.0400000000009</v>
      </c>
      <c r="J71" s="57" t="s">
        <v>359</v>
      </c>
      <c r="K71" s="33" t="s">
        <v>12</v>
      </c>
      <c r="L71" s="33" t="s">
        <v>15</v>
      </c>
      <c r="M71" s="38" t="s">
        <v>225</v>
      </c>
      <c r="N71" s="3"/>
      <c r="O71" s="3"/>
      <c r="P71" s="3"/>
    </row>
    <row r="72" spans="1:16" x14ac:dyDescent="0.3">
      <c r="A72" s="50">
        <v>1414</v>
      </c>
      <c r="B72" s="49" t="s">
        <v>224</v>
      </c>
      <c r="C72" s="59">
        <v>801</v>
      </c>
      <c r="D72" s="52" t="s">
        <v>15</v>
      </c>
      <c r="E72" s="59" t="s">
        <v>15</v>
      </c>
      <c r="F72" s="52" t="s">
        <v>15</v>
      </c>
      <c r="G72" s="52">
        <v>79</v>
      </c>
      <c r="H72" s="50">
        <v>71</v>
      </c>
      <c r="I72" s="59">
        <v>801</v>
      </c>
      <c r="J72" s="52" t="s">
        <v>359</v>
      </c>
      <c r="K72" s="32" t="s">
        <v>12</v>
      </c>
      <c r="L72" s="32" t="s">
        <v>15</v>
      </c>
      <c r="M72" s="38"/>
      <c r="N72" s="3"/>
      <c r="O72" s="3"/>
      <c r="P72" s="3"/>
    </row>
    <row r="73" spans="1:16" x14ac:dyDescent="0.3">
      <c r="A73" s="55">
        <v>1412</v>
      </c>
      <c r="B73" s="54" t="s">
        <v>52</v>
      </c>
      <c r="C73" s="56">
        <v>4299</v>
      </c>
      <c r="D73" s="57">
        <v>5414</v>
      </c>
      <c r="E73" s="58">
        <v>2519</v>
      </c>
      <c r="F73" s="57" t="s">
        <v>359</v>
      </c>
      <c r="G73" s="57">
        <v>80</v>
      </c>
      <c r="H73" s="55">
        <v>78</v>
      </c>
      <c r="I73" s="58">
        <v>1780</v>
      </c>
      <c r="J73" s="57" t="s">
        <v>359</v>
      </c>
      <c r="K73" s="33" t="s">
        <v>12</v>
      </c>
      <c r="L73" s="33" t="s">
        <v>15</v>
      </c>
      <c r="M73" s="38"/>
      <c r="N73" s="3"/>
      <c r="O73" s="3"/>
      <c r="P73" s="3"/>
    </row>
    <row r="74" spans="1:16" x14ac:dyDescent="0.3">
      <c r="A74" s="55">
        <v>1292</v>
      </c>
      <c r="B74" s="54" t="s">
        <v>255</v>
      </c>
      <c r="C74" s="56">
        <v>3735</v>
      </c>
      <c r="D74" s="57">
        <v>5415</v>
      </c>
      <c r="E74" s="58">
        <v>2445.42</v>
      </c>
      <c r="F74" s="57" t="s">
        <v>359</v>
      </c>
      <c r="G74" s="57">
        <v>81</v>
      </c>
      <c r="H74" s="55">
        <v>80</v>
      </c>
      <c r="I74" s="58">
        <v>1289.58</v>
      </c>
      <c r="J74" s="57" t="s">
        <v>57</v>
      </c>
      <c r="K74" s="33" t="s">
        <v>12</v>
      </c>
      <c r="L74" s="33" t="s">
        <v>15</v>
      </c>
      <c r="M74" s="169" t="s">
        <v>264</v>
      </c>
      <c r="N74" s="3"/>
      <c r="O74" s="3"/>
      <c r="P74" s="3"/>
    </row>
    <row r="75" spans="1:16" x14ac:dyDescent="0.3">
      <c r="A75" s="55">
        <v>1292</v>
      </c>
      <c r="B75" s="54" t="s">
        <v>255</v>
      </c>
      <c r="C75" s="56">
        <v>3735</v>
      </c>
      <c r="D75" s="57">
        <v>5415</v>
      </c>
      <c r="E75" s="58">
        <v>2445.42</v>
      </c>
      <c r="F75" s="57" t="s">
        <v>359</v>
      </c>
      <c r="G75" s="57">
        <v>82</v>
      </c>
      <c r="H75" s="55">
        <v>83</v>
      </c>
      <c r="I75" s="58">
        <v>1225.0999999999999</v>
      </c>
      <c r="J75" s="57" t="s">
        <v>138</v>
      </c>
      <c r="K75" s="33" t="s">
        <v>139</v>
      </c>
      <c r="L75" s="33" t="s">
        <v>15</v>
      </c>
      <c r="M75" s="38" t="s">
        <v>320</v>
      </c>
      <c r="N75" s="3"/>
      <c r="O75" s="3"/>
      <c r="P75" s="3"/>
    </row>
    <row r="76" spans="1:16" x14ac:dyDescent="0.3">
      <c r="A76" s="55">
        <v>1409</v>
      </c>
      <c r="B76" s="54" t="s">
        <v>260</v>
      </c>
      <c r="C76" s="56">
        <v>3874.5</v>
      </c>
      <c r="D76" s="57">
        <v>5416</v>
      </c>
      <c r="E76" s="58">
        <v>1244.5</v>
      </c>
      <c r="F76" s="57" t="s">
        <v>359</v>
      </c>
      <c r="G76" s="57">
        <v>83</v>
      </c>
      <c r="H76" s="55">
        <v>85</v>
      </c>
      <c r="I76" s="58">
        <v>2498.5</v>
      </c>
      <c r="J76" s="57" t="s">
        <v>359</v>
      </c>
      <c r="K76" s="33" t="s">
        <v>12</v>
      </c>
      <c r="L76" s="33" t="s">
        <v>15</v>
      </c>
      <c r="M76" s="38" t="s">
        <v>280</v>
      </c>
      <c r="N76" s="3"/>
      <c r="O76" s="3"/>
      <c r="P76" s="3"/>
    </row>
    <row r="77" spans="1:16" x14ac:dyDescent="0.3">
      <c r="A77" s="50">
        <v>1416</v>
      </c>
      <c r="B77" s="49" t="s">
        <v>262</v>
      </c>
      <c r="C77" s="59">
        <v>890</v>
      </c>
      <c r="D77" s="52" t="s">
        <v>15</v>
      </c>
      <c r="E77" s="59" t="s">
        <v>15</v>
      </c>
      <c r="F77" s="52" t="s">
        <v>15</v>
      </c>
      <c r="G77" s="52">
        <v>84</v>
      </c>
      <c r="H77" s="50">
        <v>87</v>
      </c>
      <c r="I77" s="59">
        <v>890</v>
      </c>
      <c r="J77" s="52" t="s">
        <v>359</v>
      </c>
      <c r="K77" s="32" t="s">
        <v>12</v>
      </c>
      <c r="L77" s="32" t="s">
        <v>15</v>
      </c>
      <c r="M77" s="48"/>
      <c r="N77" s="3"/>
      <c r="O77" s="3"/>
      <c r="P77" s="3"/>
    </row>
    <row r="78" spans="1:16" x14ac:dyDescent="0.3">
      <c r="A78" s="55">
        <v>1346</v>
      </c>
      <c r="B78" s="54" t="s">
        <v>165</v>
      </c>
      <c r="C78" s="56">
        <v>2246</v>
      </c>
      <c r="D78" s="57">
        <v>5421</v>
      </c>
      <c r="E78" s="58">
        <v>1356</v>
      </c>
      <c r="F78" s="57" t="s">
        <v>359</v>
      </c>
      <c r="G78" s="57">
        <v>85</v>
      </c>
      <c r="H78" s="55">
        <v>89</v>
      </c>
      <c r="I78" s="58">
        <v>890</v>
      </c>
      <c r="J78" s="57" t="s">
        <v>359</v>
      </c>
      <c r="K78" s="33" t="s">
        <v>12</v>
      </c>
      <c r="L78" s="33" t="s">
        <v>15</v>
      </c>
      <c r="M78" s="38"/>
      <c r="N78" s="3"/>
      <c r="O78" s="3"/>
      <c r="P78" s="3"/>
    </row>
    <row r="79" spans="1:16" x14ac:dyDescent="0.3">
      <c r="A79" s="55">
        <v>1334</v>
      </c>
      <c r="B79" s="54" t="s">
        <v>315</v>
      </c>
      <c r="C79" s="56">
        <v>2689.79</v>
      </c>
      <c r="D79" s="57">
        <v>5423</v>
      </c>
      <c r="E79" s="58">
        <v>189.79</v>
      </c>
      <c r="F79" s="57" t="s">
        <v>359</v>
      </c>
      <c r="G79" s="57">
        <v>86</v>
      </c>
      <c r="H79" s="55">
        <v>91</v>
      </c>
      <c r="I79" s="58">
        <v>2500</v>
      </c>
      <c r="J79" s="57" t="s">
        <v>138</v>
      </c>
      <c r="K79" s="33" t="s">
        <v>12</v>
      </c>
      <c r="L79" s="33" t="s">
        <v>15</v>
      </c>
      <c r="M79" s="38" t="s">
        <v>331</v>
      </c>
      <c r="N79" s="3"/>
      <c r="O79" s="3"/>
      <c r="P79" s="3"/>
    </row>
    <row r="80" spans="1:16" x14ac:dyDescent="0.3">
      <c r="A80" s="55">
        <v>1292</v>
      </c>
      <c r="B80" s="54" t="s">
        <v>255</v>
      </c>
      <c r="C80" s="56">
        <v>3735</v>
      </c>
      <c r="D80" s="57">
        <v>5415</v>
      </c>
      <c r="E80" s="58">
        <v>2445.42</v>
      </c>
      <c r="F80" s="57" t="s">
        <v>359</v>
      </c>
      <c r="G80" s="57">
        <v>87</v>
      </c>
      <c r="H80" s="55">
        <v>93</v>
      </c>
      <c r="I80" s="58">
        <v>1255.0999999999999</v>
      </c>
      <c r="J80" s="57" t="s">
        <v>359</v>
      </c>
      <c r="K80" s="33" t="s">
        <v>12</v>
      </c>
      <c r="L80" s="33" t="s">
        <v>15</v>
      </c>
      <c r="M80" s="38" t="s">
        <v>280</v>
      </c>
      <c r="N80" s="3"/>
      <c r="O80" s="3"/>
      <c r="P80" s="3"/>
    </row>
    <row r="81" spans="1:16" x14ac:dyDescent="0.3">
      <c r="A81" s="55">
        <v>1450</v>
      </c>
      <c r="B81" s="54" t="s">
        <v>328</v>
      </c>
      <c r="C81" s="56">
        <v>890</v>
      </c>
      <c r="D81" s="57" t="s">
        <v>15</v>
      </c>
      <c r="E81" s="58" t="s">
        <v>15</v>
      </c>
      <c r="F81" s="57" t="s">
        <v>15</v>
      </c>
      <c r="G81" s="57">
        <v>88</v>
      </c>
      <c r="H81" s="55">
        <v>95</v>
      </c>
      <c r="I81" s="58">
        <v>890</v>
      </c>
      <c r="J81" s="57" t="s">
        <v>359</v>
      </c>
      <c r="K81" s="33" t="s">
        <v>12</v>
      </c>
      <c r="L81" s="33" t="s">
        <v>15</v>
      </c>
      <c r="M81" s="38"/>
      <c r="N81" s="3"/>
      <c r="O81" s="3"/>
      <c r="P81" s="3"/>
    </row>
    <row r="82" spans="1:16" x14ac:dyDescent="0.3">
      <c r="A82" s="55">
        <v>1431</v>
      </c>
      <c r="B82" s="54" t="s">
        <v>224</v>
      </c>
      <c r="C82" s="56">
        <v>2188.4499999999998</v>
      </c>
      <c r="D82" s="57">
        <v>5430</v>
      </c>
      <c r="E82" s="58">
        <v>1377.45</v>
      </c>
      <c r="F82" s="57" t="s">
        <v>359</v>
      </c>
      <c r="G82" s="57">
        <v>89</v>
      </c>
      <c r="H82" s="55">
        <v>97</v>
      </c>
      <c r="I82" s="58">
        <v>900</v>
      </c>
      <c r="J82" s="57" t="s">
        <v>359</v>
      </c>
      <c r="K82" s="33" t="s">
        <v>12</v>
      </c>
      <c r="L82" s="33" t="s">
        <v>15</v>
      </c>
      <c r="M82" s="38"/>
      <c r="N82" s="3"/>
      <c r="O82" s="3"/>
      <c r="P82" s="3"/>
    </row>
    <row r="83" spans="1:16" x14ac:dyDescent="0.3">
      <c r="A83" s="55">
        <v>1334</v>
      </c>
      <c r="B83" s="54" t="s">
        <v>315</v>
      </c>
      <c r="C83" s="56">
        <v>2689.79</v>
      </c>
      <c r="D83" s="57">
        <v>5423</v>
      </c>
      <c r="E83" s="58">
        <v>189.79</v>
      </c>
      <c r="F83" s="57" t="s">
        <v>359</v>
      </c>
      <c r="G83" s="57">
        <v>90</v>
      </c>
      <c r="H83" s="55">
        <v>99</v>
      </c>
      <c r="I83" s="58">
        <v>2500</v>
      </c>
      <c r="J83" s="57" t="s">
        <v>359</v>
      </c>
      <c r="K83" s="33" t="s">
        <v>12</v>
      </c>
      <c r="L83" s="33" t="s">
        <v>15</v>
      </c>
      <c r="M83" s="38"/>
      <c r="N83" s="3"/>
      <c r="O83" s="3"/>
      <c r="P83" s="3"/>
    </row>
    <row r="84" spans="1:16" x14ac:dyDescent="0.3">
      <c r="A84" s="55">
        <v>1411</v>
      </c>
      <c r="B84" s="54" t="s">
        <v>45</v>
      </c>
      <c r="C84" s="56">
        <v>890</v>
      </c>
      <c r="D84" s="57" t="s">
        <v>15</v>
      </c>
      <c r="E84" s="58" t="s">
        <v>15</v>
      </c>
      <c r="F84" s="57" t="s">
        <v>15</v>
      </c>
      <c r="G84" s="57">
        <v>91</v>
      </c>
      <c r="H84" s="55">
        <v>101</v>
      </c>
      <c r="I84" s="58">
        <v>890</v>
      </c>
      <c r="J84" s="57" t="s">
        <v>359</v>
      </c>
      <c r="K84" s="33" t="s">
        <v>12</v>
      </c>
      <c r="L84" s="33" t="s">
        <v>15</v>
      </c>
      <c r="M84" s="38"/>
      <c r="N84" s="3"/>
      <c r="O84" s="3"/>
      <c r="P84" s="3"/>
    </row>
    <row r="85" spans="1:16" x14ac:dyDescent="0.3">
      <c r="A85" s="55">
        <v>866</v>
      </c>
      <c r="B85" s="54" t="s">
        <v>207</v>
      </c>
      <c r="C85" s="56">
        <v>33440</v>
      </c>
      <c r="D85" s="57">
        <v>5412</v>
      </c>
      <c r="E85" s="58">
        <v>22220</v>
      </c>
      <c r="F85" s="57" t="s">
        <v>359</v>
      </c>
      <c r="G85" s="57">
        <v>92</v>
      </c>
      <c r="H85" s="55">
        <v>103</v>
      </c>
      <c r="I85" s="58">
        <v>11220</v>
      </c>
      <c r="J85" s="57" t="s">
        <v>359</v>
      </c>
      <c r="K85" s="33" t="s">
        <v>12</v>
      </c>
      <c r="L85" s="33" t="s">
        <v>15</v>
      </c>
      <c r="M85" s="38"/>
      <c r="N85" s="3"/>
      <c r="O85" s="3"/>
      <c r="P85" s="3"/>
    </row>
    <row r="86" spans="1:16" x14ac:dyDescent="0.3">
      <c r="A86" s="55">
        <v>984</v>
      </c>
      <c r="B86" s="54" t="s">
        <v>59</v>
      </c>
      <c r="C86" s="56">
        <v>19700</v>
      </c>
      <c r="D86" s="57">
        <v>5411</v>
      </c>
      <c r="E86" s="58">
        <v>12410</v>
      </c>
      <c r="F86" s="57" t="s">
        <v>359</v>
      </c>
      <c r="G86" s="57">
        <v>93</v>
      </c>
      <c r="H86" s="55">
        <v>105</v>
      </c>
      <c r="I86" s="58">
        <v>7290</v>
      </c>
      <c r="J86" s="57" t="s">
        <v>359</v>
      </c>
      <c r="K86" s="33" t="s">
        <v>12</v>
      </c>
      <c r="L86" s="33" t="s">
        <v>15</v>
      </c>
      <c r="M86" s="38"/>
      <c r="N86" s="3"/>
      <c r="O86" s="3"/>
      <c r="P86" s="3"/>
    </row>
    <row r="87" spans="1:16" x14ac:dyDescent="0.3">
      <c r="A87" s="55">
        <v>641</v>
      </c>
      <c r="B87" s="54" t="s">
        <v>60</v>
      </c>
      <c r="C87" s="56">
        <v>16175</v>
      </c>
      <c r="D87" s="57">
        <v>5435</v>
      </c>
      <c r="E87" s="58">
        <v>9145</v>
      </c>
      <c r="F87" s="57" t="s">
        <v>359</v>
      </c>
      <c r="G87" s="57">
        <v>94</v>
      </c>
      <c r="H87" s="55">
        <v>107</v>
      </c>
      <c r="I87" s="58">
        <v>7030</v>
      </c>
      <c r="J87" s="57" t="s">
        <v>359</v>
      </c>
      <c r="K87" s="33" t="s">
        <v>12</v>
      </c>
      <c r="L87" s="33" t="s">
        <v>15</v>
      </c>
      <c r="M87" s="38" t="s">
        <v>346</v>
      </c>
      <c r="N87" s="3"/>
      <c r="O87" s="3"/>
      <c r="P87" s="3"/>
    </row>
    <row r="88" spans="1:16" x14ac:dyDescent="0.3">
      <c r="A88" s="55">
        <v>1336</v>
      </c>
      <c r="B88" s="54" t="s">
        <v>363</v>
      </c>
      <c r="C88" s="56">
        <v>11806</v>
      </c>
      <c r="D88" s="57">
        <v>5431</v>
      </c>
      <c r="E88" s="58">
        <v>7996</v>
      </c>
      <c r="F88" s="89" t="s">
        <v>359</v>
      </c>
      <c r="G88" s="57">
        <v>95</v>
      </c>
      <c r="H88" s="55">
        <v>1</v>
      </c>
      <c r="I88" s="58">
        <v>3810</v>
      </c>
      <c r="J88" s="57" t="s">
        <v>359</v>
      </c>
      <c r="K88" s="33" t="s">
        <v>12</v>
      </c>
      <c r="L88" s="33"/>
      <c r="M88" s="63"/>
      <c r="N88" s="3"/>
      <c r="O88" s="3"/>
      <c r="P88" s="3"/>
    </row>
    <row r="89" spans="1:16" x14ac:dyDescent="0.3">
      <c r="A89" s="55">
        <v>1496</v>
      </c>
      <c r="B89" s="54" t="s">
        <v>367</v>
      </c>
      <c r="C89" s="60">
        <v>845.5</v>
      </c>
      <c r="D89" s="57" t="s">
        <v>15</v>
      </c>
      <c r="E89" s="60" t="s">
        <v>15</v>
      </c>
      <c r="F89" s="89" t="s">
        <v>15</v>
      </c>
      <c r="G89" s="57">
        <v>96</v>
      </c>
      <c r="H89" s="55">
        <v>2</v>
      </c>
      <c r="I89" s="58">
        <v>845.5</v>
      </c>
      <c r="J89" s="57" t="s">
        <v>359</v>
      </c>
      <c r="K89" s="33" t="s">
        <v>12</v>
      </c>
      <c r="L89" s="33" t="s">
        <v>15</v>
      </c>
      <c r="M89" s="63"/>
      <c r="N89" s="3"/>
      <c r="O89" s="3"/>
      <c r="P89" s="3"/>
    </row>
    <row r="90" spans="1:16" x14ac:dyDescent="0.3">
      <c r="A90" s="55">
        <v>1351</v>
      </c>
      <c r="B90" s="54" t="s">
        <v>428</v>
      </c>
      <c r="C90" s="60">
        <v>15569</v>
      </c>
      <c r="D90" s="57">
        <v>5448</v>
      </c>
      <c r="E90" s="60">
        <v>8149</v>
      </c>
      <c r="F90" s="89" t="s">
        <v>359</v>
      </c>
      <c r="G90" s="57">
        <v>101</v>
      </c>
      <c r="H90" s="55">
        <v>8</v>
      </c>
      <c r="I90" s="58">
        <v>7420</v>
      </c>
      <c r="J90" s="57" t="s">
        <v>359</v>
      </c>
      <c r="K90" s="33" t="s">
        <v>12</v>
      </c>
      <c r="L90" s="33"/>
      <c r="M90" s="63"/>
      <c r="N90" s="3"/>
      <c r="O90" s="3"/>
      <c r="P90" s="3"/>
    </row>
    <row r="91" spans="1:16" x14ac:dyDescent="0.3">
      <c r="A91" s="55">
        <v>1270</v>
      </c>
      <c r="B91" s="54" t="s">
        <v>418</v>
      </c>
      <c r="C91" s="60">
        <v>1300</v>
      </c>
      <c r="D91" s="57">
        <v>542</v>
      </c>
      <c r="E91" s="60">
        <v>1300</v>
      </c>
      <c r="F91" s="89" t="s">
        <v>359</v>
      </c>
      <c r="G91" s="57" t="s">
        <v>15</v>
      </c>
      <c r="H91" s="55" t="s">
        <v>15</v>
      </c>
      <c r="I91" s="58" t="s">
        <v>15</v>
      </c>
      <c r="J91" s="57" t="s">
        <v>15</v>
      </c>
      <c r="K91" s="33" t="s">
        <v>12</v>
      </c>
      <c r="L91" s="33"/>
      <c r="M91" s="63"/>
      <c r="N91" s="3"/>
      <c r="O91" s="3"/>
      <c r="P91" s="3"/>
    </row>
    <row r="92" spans="1:16" x14ac:dyDescent="0.3">
      <c r="A92" s="55">
        <v>1201</v>
      </c>
      <c r="B92" s="54" t="s">
        <v>136</v>
      </c>
      <c r="C92" s="60">
        <v>1342.45</v>
      </c>
      <c r="D92" s="57">
        <v>5331</v>
      </c>
      <c r="E92" s="60">
        <v>1342.45</v>
      </c>
      <c r="F92" s="57" t="s">
        <v>359</v>
      </c>
      <c r="G92" s="57" t="s">
        <v>15</v>
      </c>
      <c r="H92" s="55" t="s">
        <v>15</v>
      </c>
      <c r="I92" s="58" t="s">
        <v>15</v>
      </c>
      <c r="J92" s="57" t="s">
        <v>15</v>
      </c>
      <c r="K92" s="33" t="s">
        <v>12</v>
      </c>
      <c r="L92" s="33" t="s">
        <v>15</v>
      </c>
      <c r="M92" s="38"/>
      <c r="N92" s="3"/>
      <c r="O92" s="3"/>
      <c r="P92" s="3"/>
    </row>
    <row r="93" spans="1:16" x14ac:dyDescent="0.3">
      <c r="A93" s="55">
        <v>1192</v>
      </c>
      <c r="B93" s="54" t="s">
        <v>25</v>
      </c>
      <c r="C93" s="60">
        <v>3907.1</v>
      </c>
      <c r="D93" s="57">
        <v>5342</v>
      </c>
      <c r="E93" s="60">
        <v>1566.5</v>
      </c>
      <c r="F93" s="57" t="s">
        <v>359</v>
      </c>
      <c r="G93" s="57" t="s">
        <v>15</v>
      </c>
      <c r="H93" s="55" t="s">
        <v>15</v>
      </c>
      <c r="I93" s="58" t="s">
        <v>15</v>
      </c>
      <c r="J93" s="57" t="s">
        <v>15</v>
      </c>
      <c r="K93" s="33" t="str">
        <f t="shared" ref="K93:K100" si="3">IF(AND(D93&lt;&gt;"", G93&lt;&gt;""), "OK", "")</f>
        <v>OK</v>
      </c>
      <c r="L93" s="33" t="s">
        <v>15</v>
      </c>
      <c r="M93" s="38"/>
      <c r="N93" s="3"/>
      <c r="O93" s="3"/>
      <c r="P93" s="3"/>
    </row>
    <row r="94" spans="1:16" x14ac:dyDescent="0.3">
      <c r="A94" s="55">
        <v>1192</v>
      </c>
      <c r="B94" s="54" t="s">
        <v>25</v>
      </c>
      <c r="C94" s="60">
        <v>3907.1</v>
      </c>
      <c r="D94" s="57">
        <v>5343</v>
      </c>
      <c r="E94" s="60">
        <v>2340.6</v>
      </c>
      <c r="F94" s="57" t="s">
        <v>359</v>
      </c>
      <c r="G94" s="57" t="s">
        <v>15</v>
      </c>
      <c r="H94" s="55" t="s">
        <v>15</v>
      </c>
      <c r="I94" s="58" t="s">
        <v>15</v>
      </c>
      <c r="J94" s="57" t="s">
        <v>15</v>
      </c>
      <c r="K94" s="33" t="str">
        <f t="shared" si="3"/>
        <v>OK</v>
      </c>
      <c r="L94" s="33" t="s">
        <v>15</v>
      </c>
      <c r="M94" s="38"/>
      <c r="N94" s="3"/>
      <c r="O94" s="3"/>
      <c r="P94" s="3"/>
    </row>
    <row r="95" spans="1:16" x14ac:dyDescent="0.3">
      <c r="A95" s="55">
        <v>1228</v>
      </c>
      <c r="B95" s="54" t="s">
        <v>25</v>
      </c>
      <c r="C95" s="60">
        <v>6273.54</v>
      </c>
      <c r="D95" s="57">
        <v>5348</v>
      </c>
      <c r="E95" s="60">
        <v>6273.54</v>
      </c>
      <c r="F95" s="57" t="s">
        <v>359</v>
      </c>
      <c r="G95" s="57" t="s">
        <v>15</v>
      </c>
      <c r="H95" s="55" t="s">
        <v>15</v>
      </c>
      <c r="I95" s="58" t="s">
        <v>15</v>
      </c>
      <c r="J95" s="57" t="s">
        <v>15</v>
      </c>
      <c r="K95" s="33" t="str">
        <f t="shared" si="3"/>
        <v>OK</v>
      </c>
      <c r="L95" s="33" t="s">
        <v>15</v>
      </c>
      <c r="M95" s="38"/>
      <c r="N95" s="3"/>
      <c r="O95" s="3"/>
      <c r="P95" s="3"/>
    </row>
    <row r="96" spans="1:16" x14ac:dyDescent="0.3">
      <c r="A96" s="55">
        <v>1253</v>
      </c>
      <c r="B96" s="54" t="s">
        <v>38</v>
      </c>
      <c r="C96" s="60">
        <v>4236</v>
      </c>
      <c r="D96" s="57">
        <v>5358</v>
      </c>
      <c r="E96" s="60">
        <v>4236</v>
      </c>
      <c r="F96" s="57" t="s">
        <v>359</v>
      </c>
      <c r="G96" s="57" t="s">
        <v>15</v>
      </c>
      <c r="H96" s="55" t="s">
        <v>15</v>
      </c>
      <c r="I96" s="58" t="s">
        <v>15</v>
      </c>
      <c r="J96" s="57" t="s">
        <v>15</v>
      </c>
      <c r="K96" s="33" t="str">
        <f t="shared" si="3"/>
        <v>OK</v>
      </c>
      <c r="L96" s="33" t="s">
        <v>15</v>
      </c>
      <c r="M96" s="38"/>
      <c r="N96" s="3"/>
      <c r="O96" s="3"/>
      <c r="P96" s="3"/>
    </row>
    <row r="97" spans="1:16" x14ac:dyDescent="0.3">
      <c r="A97" s="55">
        <v>1271</v>
      </c>
      <c r="B97" s="54" t="s">
        <v>43</v>
      </c>
      <c r="C97" s="60">
        <v>1865.7</v>
      </c>
      <c r="D97" s="57">
        <v>5365</v>
      </c>
      <c r="E97" s="60">
        <v>1865.7</v>
      </c>
      <c r="F97" s="57" t="s">
        <v>359</v>
      </c>
      <c r="G97" s="57" t="s">
        <v>15</v>
      </c>
      <c r="H97" s="55" t="s">
        <v>15</v>
      </c>
      <c r="I97" s="58" t="s">
        <v>15</v>
      </c>
      <c r="J97" s="57" t="s">
        <v>15</v>
      </c>
      <c r="K97" s="33" t="str">
        <f t="shared" si="3"/>
        <v>OK</v>
      </c>
      <c r="L97" s="33" t="s">
        <v>15</v>
      </c>
      <c r="M97" s="38"/>
      <c r="N97" s="3"/>
      <c r="O97" s="3"/>
      <c r="P97" s="3"/>
    </row>
    <row r="98" spans="1:16" x14ac:dyDescent="0.3">
      <c r="A98" s="55">
        <v>1241</v>
      </c>
      <c r="B98" s="54" t="s">
        <v>26</v>
      </c>
      <c r="C98" s="60">
        <v>5111.3</v>
      </c>
      <c r="D98" s="57">
        <v>5366</v>
      </c>
      <c r="E98" s="60">
        <v>5111.3</v>
      </c>
      <c r="F98" s="57" t="s">
        <v>359</v>
      </c>
      <c r="G98" s="57" t="s">
        <v>15</v>
      </c>
      <c r="H98" s="55" t="s">
        <v>15</v>
      </c>
      <c r="I98" s="58" t="s">
        <v>15</v>
      </c>
      <c r="J98" s="57" t="s">
        <v>15</v>
      </c>
      <c r="K98" s="33" t="str">
        <f t="shared" si="3"/>
        <v>OK</v>
      </c>
      <c r="L98" s="33" t="s">
        <v>15</v>
      </c>
      <c r="M98" s="38"/>
      <c r="N98" s="3"/>
      <c r="O98" s="3"/>
      <c r="P98" s="3"/>
    </row>
    <row r="99" spans="1:16" x14ac:dyDescent="0.3">
      <c r="A99" s="55" t="s">
        <v>15</v>
      </c>
      <c r="B99" s="54" t="s">
        <v>5</v>
      </c>
      <c r="C99" s="60">
        <v>5000</v>
      </c>
      <c r="D99" s="57">
        <v>5370</v>
      </c>
      <c r="E99" s="60">
        <v>5000</v>
      </c>
      <c r="F99" s="57" t="s">
        <v>359</v>
      </c>
      <c r="G99" s="57" t="s">
        <v>15</v>
      </c>
      <c r="H99" s="55" t="s">
        <v>15</v>
      </c>
      <c r="I99" s="58" t="s">
        <v>15</v>
      </c>
      <c r="J99" s="57" t="s">
        <v>15</v>
      </c>
      <c r="K99" s="33" t="str">
        <f t="shared" si="3"/>
        <v>OK</v>
      </c>
      <c r="L99" s="33" t="s">
        <v>15</v>
      </c>
      <c r="M99" s="38" t="s">
        <v>75</v>
      </c>
      <c r="N99" s="3"/>
      <c r="O99" s="3"/>
      <c r="P99" s="3"/>
    </row>
    <row r="100" spans="1:16" x14ac:dyDescent="0.3">
      <c r="A100" s="55">
        <v>1285</v>
      </c>
      <c r="B100" s="54" t="s">
        <v>46</v>
      </c>
      <c r="C100" s="60">
        <v>5372.64</v>
      </c>
      <c r="D100" s="57">
        <v>5373</v>
      </c>
      <c r="E100" s="60">
        <v>5372.64</v>
      </c>
      <c r="F100" s="57" t="s">
        <v>359</v>
      </c>
      <c r="G100" s="57" t="s">
        <v>15</v>
      </c>
      <c r="H100" s="55" t="s">
        <v>15</v>
      </c>
      <c r="I100" s="58" t="s">
        <v>15</v>
      </c>
      <c r="J100" s="57" t="s">
        <v>15</v>
      </c>
      <c r="K100" s="33" t="str">
        <f t="shared" si="3"/>
        <v>OK</v>
      </c>
      <c r="L100" s="33" t="s">
        <v>15</v>
      </c>
      <c r="M100" s="38"/>
      <c r="N100" s="3"/>
      <c r="O100" s="3"/>
      <c r="P100" s="3"/>
    </row>
    <row r="101" spans="1:16" x14ac:dyDescent="0.3">
      <c r="A101" s="55" t="s">
        <v>15</v>
      </c>
      <c r="B101" s="54" t="s">
        <v>66</v>
      </c>
      <c r="C101" s="60">
        <v>7560</v>
      </c>
      <c r="D101" s="57">
        <v>5375</v>
      </c>
      <c r="E101" s="60">
        <v>7560</v>
      </c>
      <c r="F101" s="57" t="s">
        <v>57</v>
      </c>
      <c r="G101" s="57" t="s">
        <v>15</v>
      </c>
      <c r="H101" s="55" t="s">
        <v>15</v>
      </c>
      <c r="I101" s="58" t="s">
        <v>15</v>
      </c>
      <c r="J101" s="57" t="s">
        <v>15</v>
      </c>
      <c r="K101" s="33" t="s">
        <v>139</v>
      </c>
      <c r="L101" s="34" t="s">
        <v>15</v>
      </c>
      <c r="M101" s="39" t="s">
        <v>57</v>
      </c>
      <c r="N101" s="3"/>
      <c r="O101" s="3"/>
      <c r="P101" s="3"/>
    </row>
    <row r="102" spans="1:16" x14ac:dyDescent="0.3">
      <c r="A102" s="55" t="s">
        <v>15</v>
      </c>
      <c r="B102" s="54" t="s">
        <v>67</v>
      </c>
      <c r="C102" s="60">
        <v>16224.96</v>
      </c>
      <c r="D102" s="57">
        <v>5380</v>
      </c>
      <c r="E102" s="60">
        <v>16224.96</v>
      </c>
      <c r="F102" s="57" t="s">
        <v>359</v>
      </c>
      <c r="G102" s="57" t="s">
        <v>15</v>
      </c>
      <c r="H102" s="55" t="s">
        <v>15</v>
      </c>
      <c r="I102" s="60" t="s">
        <v>15</v>
      </c>
      <c r="J102" s="57" t="s">
        <v>15</v>
      </c>
      <c r="K102" s="33" t="str">
        <f>IF(AND(D102&lt;&gt;"", G102&lt;&gt;""), "OK", "")</f>
        <v>OK</v>
      </c>
      <c r="L102" s="33">
        <v>8554</v>
      </c>
      <c r="M102" s="38" t="s">
        <v>68</v>
      </c>
      <c r="N102" s="3"/>
      <c r="O102" s="3"/>
      <c r="P102" s="3"/>
    </row>
    <row r="103" spans="1:16" x14ac:dyDescent="0.3">
      <c r="A103" s="55">
        <v>983</v>
      </c>
      <c r="B103" s="54" t="s">
        <v>67</v>
      </c>
      <c r="C103" s="60">
        <v>10685</v>
      </c>
      <c r="D103" s="57">
        <v>5381</v>
      </c>
      <c r="E103" s="60">
        <v>6205</v>
      </c>
      <c r="F103" s="57" t="s">
        <v>359</v>
      </c>
      <c r="G103" s="57" t="s">
        <v>15</v>
      </c>
      <c r="H103" s="55" t="s">
        <v>15</v>
      </c>
      <c r="I103" s="60" t="s">
        <v>15</v>
      </c>
      <c r="J103" s="57" t="s">
        <v>15</v>
      </c>
      <c r="K103" s="35" t="s">
        <v>180</v>
      </c>
      <c r="L103" s="35" t="s">
        <v>69</v>
      </c>
      <c r="M103" s="38" t="s">
        <v>76</v>
      </c>
      <c r="N103" s="3"/>
      <c r="O103" s="3"/>
      <c r="P103" s="3"/>
    </row>
    <row r="104" spans="1:16" x14ac:dyDescent="0.3">
      <c r="A104" s="55" t="s">
        <v>15</v>
      </c>
      <c r="B104" s="54" t="s">
        <v>66</v>
      </c>
      <c r="C104" s="60">
        <v>7560</v>
      </c>
      <c r="D104" s="57">
        <v>5382</v>
      </c>
      <c r="E104" s="60">
        <v>7560</v>
      </c>
      <c r="F104" s="57" t="s">
        <v>359</v>
      </c>
      <c r="G104" s="57" t="s">
        <v>15</v>
      </c>
      <c r="H104" s="55" t="s">
        <v>15</v>
      </c>
      <c r="I104" s="60" t="s">
        <v>15</v>
      </c>
      <c r="J104" s="57" t="s">
        <v>15</v>
      </c>
      <c r="K104" s="33" t="str">
        <f t="shared" ref="K104:K115" si="4">IF(AND(D104&lt;&gt;"", G104&lt;&gt;""), "OK", "")</f>
        <v>OK</v>
      </c>
      <c r="L104" s="33" t="s">
        <v>15</v>
      </c>
      <c r="M104" s="38" t="s">
        <v>70</v>
      </c>
      <c r="N104" s="3"/>
      <c r="O104" s="3"/>
      <c r="P104" s="3"/>
    </row>
    <row r="105" spans="1:16" x14ac:dyDescent="0.3">
      <c r="A105" s="55">
        <v>1260</v>
      </c>
      <c r="B105" s="54" t="s">
        <v>60</v>
      </c>
      <c r="C105" s="60">
        <v>2250</v>
      </c>
      <c r="D105" s="57">
        <v>5384</v>
      </c>
      <c r="E105" s="60">
        <v>2250</v>
      </c>
      <c r="F105" s="57" t="s">
        <v>359</v>
      </c>
      <c r="G105" s="57" t="s">
        <v>15</v>
      </c>
      <c r="H105" s="55" t="s">
        <v>15</v>
      </c>
      <c r="I105" s="60" t="s">
        <v>15</v>
      </c>
      <c r="J105" s="57" t="s">
        <v>15</v>
      </c>
      <c r="K105" s="33" t="str">
        <f t="shared" si="4"/>
        <v>OK</v>
      </c>
      <c r="L105" s="33" t="s">
        <v>61</v>
      </c>
      <c r="M105" s="38"/>
      <c r="N105" s="3"/>
      <c r="O105" s="3"/>
      <c r="P105" s="3"/>
    </row>
    <row r="106" spans="1:16" x14ac:dyDescent="0.3">
      <c r="A106" s="55" t="s">
        <v>15</v>
      </c>
      <c r="B106" s="54" t="s">
        <v>71</v>
      </c>
      <c r="C106" s="60">
        <v>2550</v>
      </c>
      <c r="D106" s="57">
        <v>5386</v>
      </c>
      <c r="E106" s="60">
        <v>2550</v>
      </c>
      <c r="F106" s="57" t="s">
        <v>359</v>
      </c>
      <c r="G106" s="57" t="s">
        <v>15</v>
      </c>
      <c r="H106" s="55" t="s">
        <v>15</v>
      </c>
      <c r="I106" s="60" t="s">
        <v>15</v>
      </c>
      <c r="J106" s="57" t="s">
        <v>15</v>
      </c>
      <c r="K106" s="33" t="str">
        <f t="shared" si="4"/>
        <v>OK</v>
      </c>
      <c r="L106" s="33" t="s">
        <v>15</v>
      </c>
      <c r="M106" s="38" t="s">
        <v>298</v>
      </c>
      <c r="N106" s="3"/>
      <c r="O106" s="3"/>
      <c r="P106" s="3"/>
    </row>
    <row r="107" spans="1:16" x14ac:dyDescent="0.3">
      <c r="A107" s="55" t="s">
        <v>15</v>
      </c>
      <c r="B107" s="54" t="s">
        <v>72</v>
      </c>
      <c r="C107" s="60">
        <v>627.6</v>
      </c>
      <c r="D107" s="57">
        <v>5387</v>
      </c>
      <c r="E107" s="60">
        <v>627.6</v>
      </c>
      <c r="F107" s="57" t="s">
        <v>359</v>
      </c>
      <c r="G107" s="57" t="s">
        <v>15</v>
      </c>
      <c r="H107" s="55" t="s">
        <v>15</v>
      </c>
      <c r="I107" s="60" t="s">
        <v>15</v>
      </c>
      <c r="J107" s="57" t="s">
        <v>15</v>
      </c>
      <c r="K107" s="33" t="str">
        <f t="shared" si="4"/>
        <v>OK</v>
      </c>
      <c r="L107" s="33" t="s">
        <v>15</v>
      </c>
      <c r="M107" s="38" t="s">
        <v>298</v>
      </c>
      <c r="N107" s="3"/>
      <c r="O107" s="3"/>
      <c r="P107" s="3"/>
    </row>
    <row r="108" spans="1:16" x14ac:dyDescent="0.3">
      <c r="A108" s="55">
        <v>1316</v>
      </c>
      <c r="B108" s="54" t="s">
        <v>62</v>
      </c>
      <c r="C108" s="60">
        <v>1900</v>
      </c>
      <c r="D108" s="57">
        <v>5388</v>
      </c>
      <c r="E108" s="60">
        <v>1900</v>
      </c>
      <c r="F108" s="57" t="s">
        <v>359</v>
      </c>
      <c r="G108" s="57" t="s">
        <v>15</v>
      </c>
      <c r="H108" s="55" t="s">
        <v>15</v>
      </c>
      <c r="I108" s="60" t="s">
        <v>15</v>
      </c>
      <c r="J108" s="57" t="s">
        <v>15</v>
      </c>
      <c r="K108" s="33" t="str">
        <f t="shared" si="4"/>
        <v>OK</v>
      </c>
      <c r="L108" s="33" t="s">
        <v>15</v>
      </c>
      <c r="M108" s="47"/>
      <c r="N108" s="3"/>
      <c r="O108" s="3"/>
      <c r="P108" s="3"/>
    </row>
    <row r="109" spans="1:16" x14ac:dyDescent="0.3">
      <c r="A109" s="55" t="s">
        <v>15</v>
      </c>
      <c r="B109" s="54" t="s">
        <v>73</v>
      </c>
      <c r="C109" s="60">
        <v>3904.25</v>
      </c>
      <c r="D109" s="57">
        <v>5390</v>
      </c>
      <c r="E109" s="60">
        <v>3904.25</v>
      </c>
      <c r="F109" s="57" t="s">
        <v>359</v>
      </c>
      <c r="G109" s="57" t="s">
        <v>15</v>
      </c>
      <c r="H109" s="55" t="s">
        <v>15</v>
      </c>
      <c r="I109" s="60" t="s">
        <v>15</v>
      </c>
      <c r="J109" s="57" t="s">
        <v>15</v>
      </c>
      <c r="K109" s="33" t="str">
        <f t="shared" si="4"/>
        <v>OK</v>
      </c>
      <c r="L109" s="33"/>
      <c r="M109" s="47" t="s">
        <v>74</v>
      </c>
      <c r="N109" s="3"/>
      <c r="O109" s="3"/>
      <c r="P109" s="3"/>
    </row>
    <row r="110" spans="1:16" x14ac:dyDescent="0.3">
      <c r="A110" s="55">
        <v>1158</v>
      </c>
      <c r="B110" s="54" t="s">
        <v>64</v>
      </c>
      <c r="C110" s="60">
        <v>14341.28</v>
      </c>
      <c r="D110" s="57">
        <v>5391</v>
      </c>
      <c r="E110" s="60">
        <v>14341.28</v>
      </c>
      <c r="F110" s="57" t="s">
        <v>359</v>
      </c>
      <c r="G110" s="57" t="s">
        <v>15</v>
      </c>
      <c r="H110" s="55" t="s">
        <v>15</v>
      </c>
      <c r="I110" s="60" t="s">
        <v>15</v>
      </c>
      <c r="J110" s="57" t="s">
        <v>15</v>
      </c>
      <c r="K110" s="33" t="str">
        <f t="shared" si="4"/>
        <v>OK</v>
      </c>
      <c r="L110" s="33" t="s">
        <v>15</v>
      </c>
      <c r="M110" s="47"/>
      <c r="N110" s="3"/>
      <c r="O110" s="3"/>
      <c r="P110" s="3"/>
    </row>
    <row r="111" spans="1:16" x14ac:dyDescent="0.3">
      <c r="A111" s="55">
        <v>1341</v>
      </c>
      <c r="B111" s="54" t="s">
        <v>63</v>
      </c>
      <c r="C111" s="60">
        <v>778.5</v>
      </c>
      <c r="D111" s="57">
        <v>5392</v>
      </c>
      <c r="E111" s="60">
        <v>778.5</v>
      </c>
      <c r="F111" s="57" t="s">
        <v>359</v>
      </c>
      <c r="G111" s="57" t="s">
        <v>15</v>
      </c>
      <c r="H111" s="55" t="s">
        <v>15</v>
      </c>
      <c r="I111" s="60" t="s">
        <v>15</v>
      </c>
      <c r="J111" s="57" t="s">
        <v>15</v>
      </c>
      <c r="K111" s="33" t="str">
        <f t="shared" si="4"/>
        <v>OK</v>
      </c>
      <c r="L111" s="33" t="s">
        <v>15</v>
      </c>
      <c r="M111" s="47"/>
      <c r="N111" s="3"/>
      <c r="O111" s="3"/>
      <c r="P111" s="3"/>
    </row>
    <row r="112" spans="1:16" x14ac:dyDescent="0.3">
      <c r="A112" s="55">
        <v>1342</v>
      </c>
      <c r="B112" s="54" t="s">
        <v>83</v>
      </c>
      <c r="C112" s="60">
        <v>894.9</v>
      </c>
      <c r="D112" s="57">
        <v>5394</v>
      </c>
      <c r="E112" s="60">
        <v>894.9</v>
      </c>
      <c r="F112" s="57" t="s">
        <v>359</v>
      </c>
      <c r="G112" s="57" t="s">
        <v>15</v>
      </c>
      <c r="H112" s="55" t="s">
        <v>15</v>
      </c>
      <c r="I112" s="60" t="s">
        <v>15</v>
      </c>
      <c r="J112" s="57" t="s">
        <v>15</v>
      </c>
      <c r="K112" s="33" t="str">
        <f t="shared" si="4"/>
        <v>OK</v>
      </c>
      <c r="L112" s="33" t="s">
        <v>15</v>
      </c>
      <c r="M112" s="47"/>
      <c r="N112" s="3"/>
      <c r="O112" s="3"/>
      <c r="P112" s="3"/>
    </row>
    <row r="113" spans="1:16" x14ac:dyDescent="0.3">
      <c r="A113" s="55">
        <v>1239</v>
      </c>
      <c r="B113" s="54" t="s">
        <v>2</v>
      </c>
      <c r="C113" s="60">
        <v>6461</v>
      </c>
      <c r="D113" s="57">
        <v>5395</v>
      </c>
      <c r="E113" s="60">
        <v>6461</v>
      </c>
      <c r="F113" s="57" t="s">
        <v>359</v>
      </c>
      <c r="G113" s="57" t="s">
        <v>15</v>
      </c>
      <c r="H113" s="55" t="s">
        <v>15</v>
      </c>
      <c r="I113" s="60" t="s">
        <v>15</v>
      </c>
      <c r="J113" s="57" t="s">
        <v>15</v>
      </c>
      <c r="K113" s="33" t="str">
        <f t="shared" si="4"/>
        <v>OK</v>
      </c>
      <c r="L113" s="33" t="s">
        <v>15</v>
      </c>
      <c r="M113" s="47"/>
      <c r="N113" s="3"/>
      <c r="O113" s="3"/>
      <c r="P113" s="3"/>
    </row>
    <row r="114" spans="1:16" x14ac:dyDescent="0.3">
      <c r="A114" s="55">
        <v>1327</v>
      </c>
      <c r="B114" s="54" t="s">
        <v>8</v>
      </c>
      <c r="C114" s="60">
        <v>2328</v>
      </c>
      <c r="D114" s="57">
        <v>5398</v>
      </c>
      <c r="E114" s="60">
        <v>2328</v>
      </c>
      <c r="F114" s="57" t="s">
        <v>359</v>
      </c>
      <c r="G114" s="57" t="s">
        <v>15</v>
      </c>
      <c r="H114" s="55" t="s">
        <v>15</v>
      </c>
      <c r="I114" s="60" t="s">
        <v>15</v>
      </c>
      <c r="J114" s="57" t="s">
        <v>15</v>
      </c>
      <c r="K114" s="33" t="str">
        <f t="shared" si="4"/>
        <v>OK</v>
      </c>
      <c r="L114" s="33" t="s">
        <v>15</v>
      </c>
      <c r="M114" s="47"/>
      <c r="N114" s="3"/>
      <c r="O114" s="3"/>
      <c r="P114" s="3"/>
    </row>
    <row r="115" spans="1:16" x14ac:dyDescent="0.3">
      <c r="A115" s="55">
        <v>1234</v>
      </c>
      <c r="B115" s="54" t="s">
        <v>5</v>
      </c>
      <c r="C115" s="60">
        <v>3902.5</v>
      </c>
      <c r="D115" s="57">
        <v>5399</v>
      </c>
      <c r="E115" s="60">
        <v>3902.5</v>
      </c>
      <c r="F115" s="57" t="s">
        <v>359</v>
      </c>
      <c r="G115" s="57" t="s">
        <v>15</v>
      </c>
      <c r="H115" s="55" t="s">
        <v>15</v>
      </c>
      <c r="I115" s="60" t="s">
        <v>15</v>
      </c>
      <c r="J115" s="57" t="s">
        <v>15</v>
      </c>
      <c r="K115" s="33" t="str">
        <f t="shared" si="4"/>
        <v>OK</v>
      </c>
      <c r="L115" s="33" t="s">
        <v>15</v>
      </c>
      <c r="M115" s="47"/>
      <c r="N115" s="3"/>
      <c r="O115" s="3"/>
      <c r="P115" s="3"/>
    </row>
    <row r="116" spans="1:16" x14ac:dyDescent="0.3">
      <c r="A116" s="55">
        <v>1370</v>
      </c>
      <c r="B116" s="54" t="s">
        <v>136</v>
      </c>
      <c r="C116" s="60">
        <v>630</v>
      </c>
      <c r="D116" s="57">
        <v>5402</v>
      </c>
      <c r="E116" s="60">
        <v>630</v>
      </c>
      <c r="F116" s="57" t="s">
        <v>359</v>
      </c>
      <c r="G116" s="57" t="s">
        <v>15</v>
      </c>
      <c r="H116" s="55" t="s">
        <v>15</v>
      </c>
      <c r="I116" s="60" t="s">
        <v>15</v>
      </c>
      <c r="J116" s="57" t="s">
        <v>15</v>
      </c>
      <c r="K116" s="33" t="s">
        <v>12</v>
      </c>
      <c r="L116" s="33" t="s">
        <v>15</v>
      </c>
      <c r="M116" s="47"/>
      <c r="N116" s="3"/>
      <c r="O116" s="3"/>
      <c r="P116" s="3"/>
    </row>
    <row r="117" spans="1:16" x14ac:dyDescent="0.3">
      <c r="A117" s="55">
        <v>1223</v>
      </c>
      <c r="B117" s="54" t="s">
        <v>164</v>
      </c>
      <c r="C117" s="60">
        <v>2721.2</v>
      </c>
      <c r="D117" s="57">
        <v>5403</v>
      </c>
      <c r="E117" s="60">
        <v>2721.2</v>
      </c>
      <c r="F117" s="57" t="s">
        <v>359</v>
      </c>
      <c r="G117" s="57" t="s">
        <v>15</v>
      </c>
      <c r="H117" s="55" t="s">
        <v>15</v>
      </c>
      <c r="I117" s="60" t="s">
        <v>15</v>
      </c>
      <c r="J117" s="57" t="s">
        <v>15</v>
      </c>
      <c r="K117" s="33" t="s">
        <v>12</v>
      </c>
      <c r="L117" s="33" t="s">
        <v>15</v>
      </c>
      <c r="M117" s="47"/>
      <c r="N117" s="3"/>
      <c r="O117" s="3"/>
      <c r="P117" s="3"/>
    </row>
    <row r="118" spans="1:16" x14ac:dyDescent="0.3">
      <c r="A118" s="55" t="s">
        <v>15</v>
      </c>
      <c r="B118" s="54" t="s">
        <v>336</v>
      </c>
      <c r="C118" s="60">
        <v>27580</v>
      </c>
      <c r="D118" s="57">
        <v>5405</v>
      </c>
      <c r="E118" s="60">
        <v>27580</v>
      </c>
      <c r="F118" s="57" t="s">
        <v>359</v>
      </c>
      <c r="G118" s="57" t="s">
        <v>15</v>
      </c>
      <c r="H118" s="55" t="s">
        <v>15</v>
      </c>
      <c r="I118" s="60" t="s">
        <v>15</v>
      </c>
      <c r="J118" s="57" t="s">
        <v>15</v>
      </c>
      <c r="K118" s="33" t="s">
        <v>12</v>
      </c>
      <c r="L118" s="33" t="s">
        <v>15</v>
      </c>
      <c r="M118" s="47" t="s">
        <v>298</v>
      </c>
      <c r="N118" s="3"/>
      <c r="O118" s="3"/>
      <c r="P118" s="3"/>
    </row>
    <row r="119" spans="1:16" x14ac:dyDescent="0.3">
      <c r="A119" s="55" t="s">
        <v>15</v>
      </c>
      <c r="B119" s="54" t="s">
        <v>336</v>
      </c>
      <c r="C119" s="60">
        <v>4188.8</v>
      </c>
      <c r="D119" s="57">
        <v>5406</v>
      </c>
      <c r="E119" s="60">
        <v>4188.8</v>
      </c>
      <c r="F119" s="57" t="s">
        <v>359</v>
      </c>
      <c r="G119" s="57" t="s">
        <v>15</v>
      </c>
      <c r="H119" s="55" t="s">
        <v>15</v>
      </c>
      <c r="I119" s="60" t="s">
        <v>15</v>
      </c>
      <c r="J119" s="57" t="s">
        <v>15</v>
      </c>
      <c r="K119" s="33" t="s">
        <v>12</v>
      </c>
      <c r="L119" s="33" t="s">
        <v>15</v>
      </c>
      <c r="M119" s="47" t="s">
        <v>298</v>
      </c>
      <c r="N119" s="3"/>
      <c r="O119" s="3"/>
      <c r="P119" s="3"/>
    </row>
    <row r="120" spans="1:16" x14ac:dyDescent="0.3">
      <c r="A120" s="55">
        <v>1278</v>
      </c>
      <c r="B120" s="54" t="s">
        <v>45</v>
      </c>
      <c r="C120" s="60">
        <v>1290.4000000000001</v>
      </c>
      <c r="D120" s="57">
        <v>5407</v>
      </c>
      <c r="E120" s="60">
        <v>1290.4000000000001</v>
      </c>
      <c r="F120" s="57" t="s">
        <v>359</v>
      </c>
      <c r="G120" s="57" t="s">
        <v>15</v>
      </c>
      <c r="H120" s="55" t="s">
        <v>15</v>
      </c>
      <c r="I120" s="60" t="s">
        <v>15</v>
      </c>
      <c r="J120" s="57" t="s">
        <v>15</v>
      </c>
      <c r="K120" s="33" t="s">
        <v>12</v>
      </c>
      <c r="L120" s="33" t="s">
        <v>15</v>
      </c>
      <c r="M120" s="47" t="s">
        <v>179</v>
      </c>
      <c r="N120" s="3"/>
      <c r="O120" s="3"/>
      <c r="P120" s="3"/>
    </row>
    <row r="121" spans="1:16" x14ac:dyDescent="0.3">
      <c r="A121" s="55">
        <v>1413</v>
      </c>
      <c r="B121" s="54" t="s">
        <v>203</v>
      </c>
      <c r="C121" s="60">
        <v>930</v>
      </c>
      <c r="D121" s="57">
        <v>5413</v>
      </c>
      <c r="E121" s="60">
        <v>930</v>
      </c>
      <c r="F121" s="57" t="s">
        <v>359</v>
      </c>
      <c r="G121" s="57" t="s">
        <v>15</v>
      </c>
      <c r="H121" s="55" t="s">
        <v>15</v>
      </c>
      <c r="I121" s="60" t="s">
        <v>15</v>
      </c>
      <c r="J121" s="57" t="s">
        <v>15</v>
      </c>
      <c r="K121" s="33" t="s">
        <v>12</v>
      </c>
      <c r="L121" s="33" t="s">
        <v>15</v>
      </c>
      <c r="M121" s="47"/>
      <c r="N121" s="3"/>
      <c r="O121" s="3"/>
      <c r="P121" s="3"/>
    </row>
    <row r="122" spans="1:16" x14ac:dyDescent="0.3">
      <c r="A122" s="55" t="s">
        <v>15</v>
      </c>
      <c r="B122" s="54" t="s">
        <v>71</v>
      </c>
      <c r="C122" s="60">
        <v>9520</v>
      </c>
      <c r="D122" s="57">
        <v>5417</v>
      </c>
      <c r="E122" s="60">
        <v>9520</v>
      </c>
      <c r="F122" s="57" t="s">
        <v>359</v>
      </c>
      <c r="G122" s="57" t="s">
        <v>15</v>
      </c>
      <c r="H122" s="55" t="s">
        <v>15</v>
      </c>
      <c r="I122" s="60" t="s">
        <v>15</v>
      </c>
      <c r="J122" s="57" t="s">
        <v>15</v>
      </c>
      <c r="K122" s="33" t="s">
        <v>12</v>
      </c>
      <c r="L122" s="33"/>
      <c r="M122" s="47" t="s">
        <v>298</v>
      </c>
      <c r="N122" s="3"/>
      <c r="O122" s="3"/>
      <c r="P122" s="3"/>
    </row>
    <row r="123" spans="1:16" x14ac:dyDescent="0.3">
      <c r="A123" s="55">
        <v>1394</v>
      </c>
      <c r="B123" s="54" t="s">
        <v>2</v>
      </c>
      <c r="C123" s="60">
        <v>2494.1</v>
      </c>
      <c r="D123" s="57">
        <v>5418</v>
      </c>
      <c r="E123" s="60">
        <v>2494.1</v>
      </c>
      <c r="F123" s="57" t="s">
        <v>359</v>
      </c>
      <c r="G123" s="57" t="s">
        <v>15</v>
      </c>
      <c r="H123" s="55" t="s">
        <v>15</v>
      </c>
      <c r="I123" s="60" t="s">
        <v>15</v>
      </c>
      <c r="J123" s="57" t="s">
        <v>15</v>
      </c>
      <c r="K123" s="33" t="s">
        <v>12</v>
      </c>
      <c r="L123" s="33" t="s">
        <v>15</v>
      </c>
      <c r="M123" s="47"/>
      <c r="N123" s="3"/>
      <c r="O123" s="3"/>
      <c r="P123" s="3"/>
    </row>
    <row r="124" spans="1:16" x14ac:dyDescent="0.3">
      <c r="A124" s="55">
        <v>1346</v>
      </c>
      <c r="B124" s="54" t="s">
        <v>165</v>
      </c>
      <c r="C124" s="60">
        <v>2246</v>
      </c>
      <c r="D124" s="57">
        <v>5419</v>
      </c>
      <c r="E124" s="60">
        <v>1356</v>
      </c>
      <c r="F124" s="57" t="s">
        <v>57</v>
      </c>
      <c r="G124" s="57" t="s">
        <v>15</v>
      </c>
      <c r="H124" s="55" t="s">
        <v>15</v>
      </c>
      <c r="I124" s="60">
        <v>890</v>
      </c>
      <c r="J124" s="57" t="s">
        <v>15</v>
      </c>
      <c r="K124" s="33" t="s">
        <v>139</v>
      </c>
      <c r="L124" s="33" t="s">
        <v>15</v>
      </c>
      <c r="M124" s="47" t="s">
        <v>298</v>
      </c>
      <c r="N124" s="3"/>
      <c r="O124" s="3"/>
      <c r="P124" s="3"/>
    </row>
    <row r="125" spans="1:16" x14ac:dyDescent="0.3">
      <c r="A125" s="55">
        <v>1436</v>
      </c>
      <c r="B125" s="54" t="s">
        <v>260</v>
      </c>
      <c r="C125" s="60">
        <v>620.4</v>
      </c>
      <c r="D125" s="57">
        <v>5420</v>
      </c>
      <c r="E125" s="60">
        <v>620.4</v>
      </c>
      <c r="F125" s="57" t="s">
        <v>359</v>
      </c>
      <c r="G125" s="57" t="s">
        <v>15</v>
      </c>
      <c r="H125" s="55" t="s">
        <v>15</v>
      </c>
      <c r="I125" s="60" t="s">
        <v>15</v>
      </c>
      <c r="J125" s="57" t="s">
        <v>15</v>
      </c>
      <c r="K125" s="33" t="s">
        <v>12</v>
      </c>
      <c r="L125" s="33" t="s">
        <v>15</v>
      </c>
      <c r="M125" s="47"/>
      <c r="N125" s="3"/>
      <c r="O125" s="3"/>
      <c r="P125" s="3"/>
    </row>
    <row r="126" spans="1:16" x14ac:dyDescent="0.3">
      <c r="A126" s="55" t="s">
        <v>15</v>
      </c>
      <c r="B126" s="54" t="s">
        <v>297</v>
      </c>
      <c r="C126" s="60">
        <v>16355</v>
      </c>
      <c r="D126" s="57">
        <v>5422</v>
      </c>
      <c r="E126" s="60">
        <v>16355</v>
      </c>
      <c r="F126" s="57" t="s">
        <v>359</v>
      </c>
      <c r="G126" s="57" t="s">
        <v>15</v>
      </c>
      <c r="H126" s="55" t="s">
        <v>15</v>
      </c>
      <c r="I126" s="60" t="s">
        <v>15</v>
      </c>
      <c r="J126" s="57" t="s">
        <v>15</v>
      </c>
      <c r="K126" s="33" t="s">
        <v>12</v>
      </c>
      <c r="L126" s="33" t="s">
        <v>15</v>
      </c>
      <c r="M126" s="47" t="s">
        <v>298</v>
      </c>
      <c r="N126" s="3"/>
      <c r="O126" s="3"/>
      <c r="P126" s="3"/>
    </row>
    <row r="127" spans="1:16" x14ac:dyDescent="0.3">
      <c r="A127" s="55" t="s">
        <v>15</v>
      </c>
      <c r="B127" s="54" t="s">
        <v>71</v>
      </c>
      <c r="C127" s="60">
        <v>8770</v>
      </c>
      <c r="D127" s="57">
        <v>5424</v>
      </c>
      <c r="E127" s="60">
        <v>8770</v>
      </c>
      <c r="F127" s="57" t="s">
        <v>359</v>
      </c>
      <c r="G127" s="57" t="s">
        <v>15</v>
      </c>
      <c r="H127" s="55" t="s">
        <v>15</v>
      </c>
      <c r="I127" s="60" t="s">
        <v>15</v>
      </c>
      <c r="J127" s="57" t="s">
        <v>15</v>
      </c>
      <c r="K127" s="33" t="s">
        <v>12</v>
      </c>
      <c r="L127" s="33" t="s">
        <v>15</v>
      </c>
      <c r="M127" s="47" t="s">
        <v>298</v>
      </c>
      <c r="N127" s="3"/>
      <c r="O127" s="3"/>
      <c r="P127" s="3"/>
    </row>
    <row r="128" spans="1:16" x14ac:dyDescent="0.3">
      <c r="A128" s="55" t="s">
        <v>15</v>
      </c>
      <c r="B128" s="54" t="s">
        <v>71</v>
      </c>
      <c r="C128" s="60">
        <v>7170</v>
      </c>
      <c r="D128" s="57">
        <v>5425</v>
      </c>
      <c r="E128" s="60">
        <v>7170</v>
      </c>
      <c r="F128" s="57" t="s">
        <v>359</v>
      </c>
      <c r="G128" s="57" t="s">
        <v>15</v>
      </c>
      <c r="H128" s="55" t="s">
        <v>15</v>
      </c>
      <c r="I128" s="60" t="s">
        <v>15</v>
      </c>
      <c r="J128" s="57" t="s">
        <v>15</v>
      </c>
      <c r="K128" s="33" t="s">
        <v>12</v>
      </c>
      <c r="L128" s="33" t="s">
        <v>15</v>
      </c>
      <c r="M128" s="47" t="s">
        <v>298</v>
      </c>
      <c r="N128" s="3"/>
      <c r="O128" s="3"/>
      <c r="P128" s="3"/>
    </row>
    <row r="129" spans="1:16" x14ac:dyDescent="0.3">
      <c r="A129" s="55" t="s">
        <v>15</v>
      </c>
      <c r="B129" s="54" t="s">
        <v>71</v>
      </c>
      <c r="C129" s="60">
        <v>7170</v>
      </c>
      <c r="D129" s="57">
        <v>5426</v>
      </c>
      <c r="E129" s="60">
        <v>7170</v>
      </c>
      <c r="F129" s="57" t="s">
        <v>359</v>
      </c>
      <c r="G129" s="57" t="s">
        <v>15</v>
      </c>
      <c r="H129" s="55" t="s">
        <v>15</v>
      </c>
      <c r="I129" s="60" t="s">
        <v>15</v>
      </c>
      <c r="J129" s="57" t="s">
        <v>15</v>
      </c>
      <c r="K129" s="33" t="s">
        <v>12</v>
      </c>
      <c r="L129" s="33" t="s">
        <v>15</v>
      </c>
      <c r="M129" s="47" t="s">
        <v>298</v>
      </c>
      <c r="N129" s="3"/>
      <c r="O129" s="3"/>
      <c r="P129" s="3"/>
    </row>
    <row r="130" spans="1:16" x14ac:dyDescent="0.3">
      <c r="A130" s="55" t="s">
        <v>15</v>
      </c>
      <c r="B130" s="54" t="s">
        <v>68</v>
      </c>
      <c r="C130" s="60">
        <v>1365</v>
      </c>
      <c r="D130" s="57">
        <v>5429</v>
      </c>
      <c r="E130" s="60">
        <v>1365</v>
      </c>
      <c r="F130" s="57" t="s">
        <v>359</v>
      </c>
      <c r="G130" s="57" t="s">
        <v>15</v>
      </c>
      <c r="H130" s="55" t="s">
        <v>15</v>
      </c>
      <c r="I130" s="60" t="s">
        <v>15</v>
      </c>
      <c r="J130" s="57" t="s">
        <v>15</v>
      </c>
      <c r="K130" s="33" t="s">
        <v>12</v>
      </c>
      <c r="L130" s="33" t="s">
        <v>15</v>
      </c>
      <c r="M130" s="47" t="s">
        <v>298</v>
      </c>
      <c r="N130" s="28"/>
      <c r="O130" s="36"/>
      <c r="P130" s="3"/>
    </row>
    <row r="131" spans="1:16" x14ac:dyDescent="0.3">
      <c r="A131" s="55">
        <v>1452</v>
      </c>
      <c r="B131" s="54" t="s">
        <v>347</v>
      </c>
      <c r="C131" s="60">
        <v>9030</v>
      </c>
      <c r="D131" s="57">
        <v>5436</v>
      </c>
      <c r="E131" s="60">
        <v>7224</v>
      </c>
      <c r="F131" s="57" t="s">
        <v>359</v>
      </c>
      <c r="G131" s="57" t="s">
        <v>15</v>
      </c>
      <c r="H131" s="55" t="s">
        <v>15</v>
      </c>
      <c r="I131" s="60" t="s">
        <v>15</v>
      </c>
      <c r="J131" s="57" t="s">
        <v>15</v>
      </c>
      <c r="K131" s="33" t="s">
        <v>12</v>
      </c>
      <c r="L131" s="33" t="s">
        <v>15</v>
      </c>
      <c r="M131" s="47" t="s">
        <v>348</v>
      </c>
      <c r="N131" s="28"/>
      <c r="O131" s="36"/>
      <c r="P131" s="3"/>
    </row>
    <row r="132" spans="1:16" x14ac:dyDescent="0.3">
      <c r="A132" s="55">
        <v>1487</v>
      </c>
      <c r="B132" s="54" t="s">
        <v>352</v>
      </c>
      <c r="C132" s="60">
        <v>517.79999999999995</v>
      </c>
      <c r="D132" s="57">
        <v>5437</v>
      </c>
      <c r="E132" s="60">
        <v>517.79999999999995</v>
      </c>
      <c r="F132" s="57" t="s">
        <v>359</v>
      </c>
      <c r="G132" s="57" t="s">
        <v>15</v>
      </c>
      <c r="H132" s="55" t="s">
        <v>15</v>
      </c>
      <c r="I132" s="60" t="s">
        <v>15</v>
      </c>
      <c r="J132" s="57" t="s">
        <v>15</v>
      </c>
      <c r="K132" s="33" t="s">
        <v>12</v>
      </c>
      <c r="L132" s="33" t="s">
        <v>15</v>
      </c>
      <c r="M132" s="47"/>
      <c r="N132" s="28"/>
      <c r="O132" s="36"/>
      <c r="P132" s="3"/>
    </row>
    <row r="133" spans="1:16" x14ac:dyDescent="0.3">
      <c r="A133" s="55">
        <v>1452</v>
      </c>
      <c r="B133" s="54" t="s">
        <v>347</v>
      </c>
      <c r="C133" s="60">
        <v>9030</v>
      </c>
      <c r="D133" s="57">
        <v>5438</v>
      </c>
      <c r="E133" s="60">
        <v>1806</v>
      </c>
      <c r="F133" s="57" t="s">
        <v>359</v>
      </c>
      <c r="G133" s="57" t="s">
        <v>15</v>
      </c>
      <c r="H133" s="55" t="s">
        <v>15</v>
      </c>
      <c r="I133" s="60" t="s">
        <v>15</v>
      </c>
      <c r="J133" s="57" t="s">
        <v>15</v>
      </c>
      <c r="K133" s="33" t="s">
        <v>12</v>
      </c>
      <c r="L133" s="33" t="s">
        <v>15</v>
      </c>
      <c r="M133" s="47"/>
      <c r="N133" s="28"/>
      <c r="O133" s="36"/>
      <c r="P133" s="3"/>
    </row>
  </sheetData>
  <mergeCells count="2">
    <mergeCell ref="D1:F1"/>
    <mergeCell ref="G1:J1"/>
  </mergeCells>
  <phoneticPr fontId="3" type="noConversion"/>
  <conditionalFormatting sqref="D3:F133">
    <cfRule type="expression" dxfId="34" priority="1">
      <formula>$F3="Cancelada"</formula>
    </cfRule>
    <cfRule type="expression" dxfId="33" priority="2">
      <formula>$F3="Emitida"</formula>
    </cfRule>
  </conditionalFormatting>
  <conditionalFormatting sqref="G3:J133">
    <cfRule type="expression" dxfId="32" priority="3">
      <formula>$J3="Emitida"</formula>
    </cfRule>
    <cfRule type="expression" dxfId="31" priority="4">
      <formula>$J3="Substituida"</formula>
    </cfRule>
    <cfRule type="expression" dxfId="30" priority="5">
      <formula>$J3="Cancelada"</formula>
    </cfRule>
  </conditionalFormatting>
  <conditionalFormatting sqref="K3:M133">
    <cfRule type="expression" dxfId="29" priority="6">
      <formula>$K3="WAIT"</formula>
    </cfRule>
    <cfRule type="expression" dxfId="28" priority="7">
      <formula>$K3="OFF"</formula>
    </cfRule>
    <cfRule type="expression" dxfId="27" priority="16">
      <formula>$K3="OK"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4E96-ECE8-4455-90F4-7ED83B49E2DD}">
  <sheetPr>
    <tabColor theme="7"/>
  </sheetPr>
  <dimension ref="A1:H41"/>
  <sheetViews>
    <sheetView showGridLines="0" topLeftCell="A25" zoomScale="80" zoomScaleNormal="80" workbookViewId="0">
      <selection activeCell="H27" sqref="H27"/>
    </sheetView>
  </sheetViews>
  <sheetFormatPr defaultRowHeight="16.5" x14ac:dyDescent="0.3"/>
  <cols>
    <col min="1" max="1" width="39.625" customWidth="1"/>
    <col min="2" max="2" width="15.625" customWidth="1"/>
    <col min="3" max="3" width="19.875" bestFit="1" customWidth="1"/>
    <col min="4" max="4" width="4.125" customWidth="1"/>
    <col min="5" max="5" width="79.75" customWidth="1"/>
    <col min="6" max="6" width="4" customWidth="1"/>
    <col min="7" max="7" width="27.375" bestFit="1" customWidth="1"/>
    <col min="8" max="8" width="67" bestFit="1" customWidth="1"/>
  </cols>
  <sheetData>
    <row r="1" spans="1:8" ht="17.25" thickBot="1" x14ac:dyDescent="0.35">
      <c r="A1" s="336" t="s">
        <v>981</v>
      </c>
      <c r="B1" s="338"/>
      <c r="C1" s="337"/>
      <c r="E1" s="187" t="s">
        <v>997</v>
      </c>
      <c r="G1" s="217" t="s">
        <v>870</v>
      </c>
      <c r="H1" s="216" t="s">
        <v>1001</v>
      </c>
    </row>
    <row r="2" spans="1:8" ht="17.25" thickBot="1" x14ac:dyDescent="0.35">
      <c r="A2" s="332" t="s">
        <v>995</v>
      </c>
      <c r="B2" s="333"/>
      <c r="C2" s="339"/>
      <c r="E2" s="188" t="s">
        <v>1655</v>
      </c>
      <c r="G2" s="190" t="s">
        <v>1003</v>
      </c>
      <c r="H2" s="191" t="s">
        <v>1002</v>
      </c>
    </row>
    <row r="3" spans="1:8" ht="17.25" thickBot="1" x14ac:dyDescent="0.35">
      <c r="A3" s="336" t="s">
        <v>1013</v>
      </c>
      <c r="B3" s="338"/>
      <c r="C3" s="337"/>
      <c r="E3" s="187" t="s">
        <v>998</v>
      </c>
      <c r="G3" s="192" t="s">
        <v>1005</v>
      </c>
      <c r="H3" s="193" t="s">
        <v>1004</v>
      </c>
    </row>
    <row r="4" spans="1:8" ht="17.25" thickBot="1" x14ac:dyDescent="0.35">
      <c r="A4" s="196" t="s">
        <v>1014</v>
      </c>
      <c r="B4" s="197" t="s">
        <v>9</v>
      </c>
      <c r="C4" s="197" t="s">
        <v>1015</v>
      </c>
      <c r="E4" s="189" t="str">
        <f>PROPER($E$2)</f>
        <v>Andar 01 Cond New Zealand Empresar</v>
      </c>
      <c r="G4" s="192" t="s">
        <v>1038</v>
      </c>
      <c r="H4" s="193" t="s">
        <v>1006</v>
      </c>
    </row>
    <row r="5" spans="1:8" ht="17.25" thickBot="1" x14ac:dyDescent="0.35">
      <c r="A5" s="198" t="s">
        <v>1016</v>
      </c>
      <c r="B5" s="199">
        <v>2.4</v>
      </c>
      <c r="C5" s="200">
        <f>B5*2</f>
        <v>4.8</v>
      </c>
      <c r="E5" s="187" t="s">
        <v>999</v>
      </c>
      <c r="G5" s="192" t="s">
        <v>1008</v>
      </c>
      <c r="H5" s="193" t="s">
        <v>1007</v>
      </c>
    </row>
    <row r="6" spans="1:8" ht="17.25" thickBot="1" x14ac:dyDescent="0.35">
      <c r="A6" s="201" t="s">
        <v>1017</v>
      </c>
      <c r="B6" s="202">
        <v>2.2000000000000002</v>
      </c>
      <c r="C6" s="203">
        <f>B6*2</f>
        <v>4.4000000000000004</v>
      </c>
      <c r="E6" s="189" t="str">
        <f>LOWER($E$2)</f>
        <v>andar 01 cond new zealand empresar</v>
      </c>
      <c r="G6" s="192" t="s">
        <v>1010</v>
      </c>
      <c r="H6" s="193" t="s">
        <v>1009</v>
      </c>
    </row>
    <row r="7" spans="1:8" ht="17.25" thickBot="1" x14ac:dyDescent="0.35">
      <c r="A7" s="204" t="s">
        <v>1018</v>
      </c>
      <c r="B7" s="205" t="str">
        <f>IFERROR(VLOOKUP($C$8,Valor_M²[],3,FALSE),"-")</f>
        <v>-</v>
      </c>
      <c r="C7" s="205" t="s">
        <v>15</v>
      </c>
      <c r="E7" s="187" t="s">
        <v>1000</v>
      </c>
      <c r="G7" s="192" t="s">
        <v>1012</v>
      </c>
      <c r="H7" s="193" t="s">
        <v>1011</v>
      </c>
    </row>
    <row r="8" spans="1:8" ht="17.25" thickBot="1" x14ac:dyDescent="0.35">
      <c r="A8" s="144" t="s">
        <v>1019</v>
      </c>
      <c r="B8" s="206">
        <f>IFERROR(B5*B6," ")</f>
        <v>5.28</v>
      </c>
      <c r="C8" s="206">
        <f>B8*2</f>
        <v>10.56</v>
      </c>
      <c r="E8" s="189" t="str">
        <f>UPPER($E$2)</f>
        <v>ANDAR 01 COND NEW ZEALAND EMPRESAR</v>
      </c>
      <c r="G8" s="192" t="s">
        <v>1137</v>
      </c>
      <c r="H8" s="193" t="s">
        <v>1121</v>
      </c>
    </row>
    <row r="9" spans="1:8" x14ac:dyDescent="0.3">
      <c r="A9" s="144" t="s">
        <v>1020</v>
      </c>
      <c r="B9" s="207">
        <f>IFERROR(VLOOKUP(A2,Valor_M²[#All],2,),"-")</f>
        <v>470</v>
      </c>
      <c r="C9" s="207">
        <f>B9*2</f>
        <v>940</v>
      </c>
      <c r="G9" s="295" t="s">
        <v>1138</v>
      </c>
      <c r="H9" s="296" t="s">
        <v>1140</v>
      </c>
    </row>
    <row r="10" spans="1:8" ht="17.25" thickBot="1" x14ac:dyDescent="0.35">
      <c r="A10" s="144" t="s">
        <v>1021</v>
      </c>
      <c r="B10" s="305">
        <f>IFERROR(B8*B9," ")</f>
        <v>2481.6</v>
      </c>
      <c r="C10" s="208">
        <f>B10*2</f>
        <v>4963.2</v>
      </c>
      <c r="G10" s="194" t="s">
        <v>1139</v>
      </c>
      <c r="H10" s="195" t="s">
        <v>1141</v>
      </c>
    </row>
    <row r="11" spans="1:8" ht="17.25" thickBot="1" x14ac:dyDescent="0.35">
      <c r="A11" s="201" t="s">
        <v>1022</v>
      </c>
      <c r="B11" s="209">
        <f>IFERROR($D$12*$D$13*$D$14," ")</f>
        <v>0</v>
      </c>
      <c r="C11" s="209">
        <f>B11*2</f>
        <v>0</v>
      </c>
    </row>
    <row r="12" spans="1:8" ht="17.25" thickBot="1" x14ac:dyDescent="0.35"/>
    <row r="13" spans="1:8" ht="17.25" thickBot="1" x14ac:dyDescent="0.35">
      <c r="A13" s="336" t="s">
        <v>1023</v>
      </c>
      <c r="B13" s="338"/>
      <c r="C13" s="213" t="s">
        <v>1015</v>
      </c>
      <c r="E13" s="187" t="s">
        <v>1113</v>
      </c>
    </row>
    <row r="14" spans="1:8" ht="17.25" thickBot="1" x14ac:dyDescent="0.35">
      <c r="A14" s="36" t="s">
        <v>1024</v>
      </c>
      <c r="B14" s="259">
        <v>500</v>
      </c>
      <c r="C14" s="214">
        <f>B14*2</f>
        <v>1000</v>
      </c>
      <c r="E14" s="294">
        <f>_xlfn.LET(_xlpm.V_Folha,CSP!$B$26,_xlpm.V_Frota,CSP!$B$27,_xlpm.H_Produtiva,CSP!$B$28,_xlpm.K_Valor,CSP!$B$29,_xlpm.P_Imposto,CSP!$B$30,_xlpm.S_Quant,CSP!$B$31,_xlpm.S_Horas,CSP!$B$32,_xlpm.S_Dist,CSP!$B$33,_xlpm.S_Mat,CSP!$B$34,_xlpm.CHH,_xlpm.V_Folha/_xlpm.H_Produtiva,_xlpm.CHV,_xlpm.V_Frota/_xlpm.H_Produtiva,_xlpm.Custo_Base,(_xlpm.S_Quant*_xlpm.S_Horas*_xlpm.CHH)+(_xlpm.S_Horas*_xlpm.CHV)+(_xlpm.S_Dist*_xlpm.K_Valor)+_xlpm.S_Mat,_xlpm.CSP_Final,_xlpm.Custo_Base/(1-_xlpm.P_Imposto),_xlpm.CSP_Final)</f>
        <v>1210.2276863702193</v>
      </c>
    </row>
    <row r="15" spans="1:8" ht="17.25" thickBot="1" x14ac:dyDescent="0.35">
      <c r="A15" s="210" t="s">
        <v>1025</v>
      </c>
      <c r="B15" s="211">
        <f>B14*2*3</f>
        <v>3000</v>
      </c>
      <c r="C15" s="215">
        <f>B15*2</f>
        <v>6000</v>
      </c>
    </row>
    <row r="16" spans="1:8" ht="17.25" thickBot="1" x14ac:dyDescent="0.35"/>
    <row r="17" spans="1:3" ht="17.25" thickBot="1" x14ac:dyDescent="0.35">
      <c r="A17" s="340" t="s">
        <v>1113</v>
      </c>
      <c r="B17" s="341"/>
    </row>
    <row r="18" spans="1:3" ht="17.25" thickBot="1" x14ac:dyDescent="0.35">
      <c r="A18" s="285" t="s">
        <v>1031</v>
      </c>
      <c r="B18" s="301">
        <v>2</v>
      </c>
    </row>
    <row r="19" spans="1:3" ht="17.25" thickBot="1" x14ac:dyDescent="0.35">
      <c r="A19" s="32" t="s">
        <v>1118</v>
      </c>
      <c r="B19" s="301">
        <v>8</v>
      </c>
    </row>
    <row r="20" spans="1:3" ht="17.25" thickBot="1" x14ac:dyDescent="0.35">
      <c r="A20" s="32" t="s">
        <v>1119</v>
      </c>
      <c r="B20" s="301">
        <v>10</v>
      </c>
    </row>
    <row r="21" spans="1:3" ht="17.25" thickBot="1" x14ac:dyDescent="0.35">
      <c r="A21" s="286" t="s">
        <v>1120</v>
      </c>
      <c r="B21" s="302">
        <v>50</v>
      </c>
    </row>
    <row r="22" spans="1:3" ht="17.25" thickBot="1" x14ac:dyDescent="0.35"/>
    <row r="23" spans="1:3" ht="17.25" thickBot="1" x14ac:dyDescent="0.35">
      <c r="A23" s="336" t="s">
        <v>1029</v>
      </c>
      <c r="B23" s="337"/>
    </row>
    <row r="24" spans="1:3" ht="17.25" thickBot="1" x14ac:dyDescent="0.35">
      <c r="A24" s="121" t="s">
        <v>1030</v>
      </c>
      <c r="B24" s="303">
        <v>3</v>
      </c>
    </row>
    <row r="25" spans="1:3" ht="17.25" thickBot="1" x14ac:dyDescent="0.35">
      <c r="A25" s="210" t="s">
        <v>1031</v>
      </c>
      <c r="B25" s="303">
        <v>2</v>
      </c>
    </row>
    <row r="26" spans="1:3" ht="17.25" thickBot="1" x14ac:dyDescent="0.35">
      <c r="A26" s="210" t="s">
        <v>1032</v>
      </c>
      <c r="B26" s="215">
        <f>((350*B24)+(100*B24*B25))*(1+10%)</f>
        <v>1815.0000000000002</v>
      </c>
    </row>
    <row r="27" spans="1:3" ht="17.25" thickBot="1" x14ac:dyDescent="0.35"/>
    <row r="28" spans="1:3" ht="17.25" thickBot="1" x14ac:dyDescent="0.35">
      <c r="A28" s="336" t="s">
        <v>1035</v>
      </c>
      <c r="B28" s="337"/>
    </row>
    <row r="29" spans="1:3" ht="17.25" thickBot="1" x14ac:dyDescent="0.35">
      <c r="A29" s="210" t="s">
        <v>1025</v>
      </c>
      <c r="B29" s="211">
        <f>IFERROR((B5/2)*B6*B9," ")</f>
        <v>1240.8</v>
      </c>
    </row>
    <row r="30" spans="1:3" ht="17.25" thickBot="1" x14ac:dyDescent="0.35"/>
    <row r="31" spans="1:3" ht="17.25" thickBot="1" x14ac:dyDescent="0.35">
      <c r="A31" s="186" t="s">
        <v>1026</v>
      </c>
      <c r="B31" s="213" t="s">
        <v>1033</v>
      </c>
      <c r="C31" s="213" t="s">
        <v>1034</v>
      </c>
    </row>
    <row r="32" spans="1:3" ht="17.25" thickBot="1" x14ac:dyDescent="0.35">
      <c r="A32" s="210" t="s">
        <v>1025</v>
      </c>
      <c r="B32" s="212">
        <v>546</v>
      </c>
      <c r="C32" s="251">
        <f>B32</f>
        <v>546</v>
      </c>
    </row>
    <row r="33" spans="1:3" ht="17.25" thickBot="1" x14ac:dyDescent="0.35">
      <c r="A33" s="210" t="s">
        <v>1027</v>
      </c>
      <c r="B33" s="304">
        <v>0.1</v>
      </c>
      <c r="C33" s="304">
        <v>0.05</v>
      </c>
    </row>
    <row r="34" spans="1:3" ht="17.25" thickBot="1" x14ac:dyDescent="0.35">
      <c r="A34" s="210" t="s">
        <v>1028</v>
      </c>
      <c r="B34" s="211">
        <f>B32*(1+B33)</f>
        <v>600.6</v>
      </c>
      <c r="C34" s="211">
        <f>C32*(1-C33)</f>
        <v>518.69999999999993</v>
      </c>
    </row>
    <row r="35" spans="1:3" ht="17.25" thickBot="1" x14ac:dyDescent="0.35"/>
    <row r="36" spans="1:3" ht="17.25" thickBot="1" x14ac:dyDescent="0.35">
      <c r="A36" s="186" t="s">
        <v>1</v>
      </c>
      <c r="B36" s="213" t="s">
        <v>1068</v>
      </c>
      <c r="C36" s="213" t="s">
        <v>77</v>
      </c>
    </row>
    <row r="37" spans="1:3" ht="17.25" thickBot="1" x14ac:dyDescent="0.35">
      <c r="A37" s="252">
        <v>1474</v>
      </c>
      <c r="B37" s="253" cm="1">
        <f t="array" ref="B37">_xlfn.UNIQUE(_xlfn._xlws.FILTER(_xlfn.CHOOSECOLS(_xlfn.VSTACK(NFe_NC[],NFSe_NC[],NFe_Nice[],NFSe_Nice[]),4),_xlfn.CHOOSECOLS(_xlfn.VSTACK(NFe_NC[],NFSe_NC[],NFe_Nice[],NFSe_Nice[]),1)=A37,"No NF Found"))</f>
        <v>168</v>
      </c>
      <c r="C37" s="253" t="str" cm="1">
        <f t="array" ref="C37">_xlfn.MAP(_xlfn.ANCHORARRAY(B37), _xlfn.LAMBDA(_xlpm.nfe, IF(_xlpm.nfe="No NF-e Found", "", _xlfn.LET( _xlpm.all_data, _xlfn.VSTACK( _xlfn.CHOOSECOLS(NFe_NC[], 4, 10), _xlfn.CHOOSECOLS(NFe_Nice[], 4, 10), _xlfn.CHOOSECOLS(NFSe_NC[], 4, 9), _xlfn.CHOOSECOLS(NFSe_Nice[], 4, 9) ), _xlfn.XLOOKUP(_xlpm.nfe, _xlfn.CHOOSECOLS(_xlpm.all_data, 1), _xlfn.CHOOSECOLS(_xlpm.all_data, 2), "No STATUS Found") ) ) ))</f>
        <v>Emitida</v>
      </c>
    </row>
    <row r="38" spans="1:3" ht="17.25" thickBot="1" x14ac:dyDescent="0.35">
      <c r="B38" s="253"/>
      <c r="C38" s="257"/>
    </row>
    <row r="39" spans="1:3" ht="17.25" thickBot="1" x14ac:dyDescent="0.35">
      <c r="B39" s="253"/>
      <c r="C39" s="257"/>
    </row>
    <row r="40" spans="1:3" ht="17.25" thickBot="1" x14ac:dyDescent="0.35">
      <c r="B40" s="253"/>
      <c r="C40" s="258"/>
    </row>
    <row r="41" spans="1:3" ht="17.25" thickBot="1" x14ac:dyDescent="0.35">
      <c r="B41" s="253"/>
      <c r="C41" s="258"/>
    </row>
  </sheetData>
  <mergeCells count="7">
    <mergeCell ref="A23:B23"/>
    <mergeCell ref="A28:B28"/>
    <mergeCell ref="A1:C1"/>
    <mergeCell ref="A2:C2"/>
    <mergeCell ref="A3:C3"/>
    <mergeCell ref="A13:B13"/>
    <mergeCell ref="A17:B17"/>
  </mergeCells>
  <conditionalFormatting sqref="C37:C41">
    <cfRule type="expression" dxfId="26" priority="1">
      <formula>$C37="Emitida"</formula>
    </cfRule>
    <cfRule type="expression" dxfId="25" priority="2">
      <formula>$C37="Cancelada"</formula>
    </cfRule>
  </conditionalFormatting>
  <dataValidations count="1">
    <dataValidation type="list" allowBlank="1" showInputMessage="1" showErrorMessage="1" sqref="A2" xr:uid="{7ECA2ECA-5FFB-456E-B090-D0CA6825CF21}">
      <formula1>INDIRECT("Valor_M²[PRODUTO]")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D783-5929-4A86-BC65-B474840EBD0C}">
  <sheetPr>
    <tabColor theme="7"/>
  </sheetPr>
  <dimension ref="A1:O53"/>
  <sheetViews>
    <sheetView showGridLines="0" zoomScale="80" zoomScaleNormal="80" workbookViewId="0">
      <pane ySplit="6" topLeftCell="A7" activePane="bottomLeft" state="frozen"/>
      <selection pane="bottomLeft" activeCell="A4" sqref="A4"/>
    </sheetView>
  </sheetViews>
  <sheetFormatPr defaultRowHeight="16.5" x14ac:dyDescent="0.3"/>
  <cols>
    <col min="1" max="1" width="40.625" style="1" customWidth="1"/>
    <col min="2" max="2" width="4.875" style="1" customWidth="1"/>
    <col min="3" max="3" width="14.875" style="1" customWidth="1"/>
    <col min="4" max="4" width="15" style="1" customWidth="1"/>
    <col min="5" max="5" width="15" style="25" bestFit="1" customWidth="1"/>
    <col min="6" max="6" width="13" style="10" customWidth="1"/>
    <col min="7" max="7" width="26.125" style="1" bestFit="1" customWidth="1"/>
    <col min="8" max="8" width="9" style="78"/>
    <col min="9" max="9" width="3.875" style="1" customWidth="1"/>
    <col min="10" max="10" width="62.375" style="1" bestFit="1" customWidth="1"/>
    <col min="11" max="11" width="7.125" style="1" customWidth="1"/>
    <col min="12" max="12" width="14.875" style="10" bestFit="1" customWidth="1"/>
    <col min="13" max="13" width="13.875" style="10" bestFit="1" customWidth="1"/>
    <col min="14" max="14" width="26.125" style="1" bestFit="1" customWidth="1"/>
    <col min="15" max="16384" width="9" style="1"/>
  </cols>
  <sheetData>
    <row r="1" spans="1:15" ht="4.5" customHeight="1" thickBot="1" x14ac:dyDescent="0.35">
      <c r="E1" s="10"/>
      <c r="L1" s="1"/>
      <c r="M1" s="1"/>
    </row>
    <row r="2" spans="1:15" ht="17.25" thickBot="1" x14ac:dyDescent="0.35">
      <c r="A2" s="311" t="s">
        <v>1299</v>
      </c>
      <c r="C2" s="311" t="s">
        <v>1301</v>
      </c>
      <c r="D2" s="316">
        <f>_xlfn.MAXIFS(Table_Produtos[V. UNIT],Table_Produtos[PRODUTO],$A$3)</f>
        <v>774</v>
      </c>
      <c r="E2" s="10"/>
      <c r="J2" s="311" t="s">
        <v>1304</v>
      </c>
      <c r="L2" s="311" t="s">
        <v>1301</v>
      </c>
      <c r="M2" s="316">
        <f>_xlfn.MAXIFS(Table_Serviços[V. UNIT],Table_Serviços[SERVIÇO],$J$3)</f>
        <v>1620</v>
      </c>
    </row>
    <row r="3" spans="1:15" ht="17.25" thickBot="1" x14ac:dyDescent="0.35">
      <c r="A3" s="312" t="s">
        <v>1600</v>
      </c>
      <c r="C3" s="311" t="s">
        <v>1300</v>
      </c>
      <c r="D3" s="316">
        <f>AVERAGEIF(Table_Produtos[PRODUTO],$A$3,Table_Produtos[V. UNIT])</f>
        <v>774</v>
      </c>
      <c r="E3" s="10"/>
      <c r="J3" s="312" t="s">
        <v>1234</v>
      </c>
      <c r="L3" s="311" t="s">
        <v>1300</v>
      </c>
      <c r="M3" s="316">
        <f>AVERAGEIF(Table_Serviços[SERVIÇO],$J$3,Table_Serviços[V. UNIT])</f>
        <v>758.61702127659578</v>
      </c>
    </row>
    <row r="4" spans="1:15" ht="17.25" thickBot="1" x14ac:dyDescent="0.35">
      <c r="C4" s="311" t="s">
        <v>1302</v>
      </c>
      <c r="D4" s="316">
        <f>_xlfn.MINIFS(Table_Produtos[V. UNIT],Table_Produtos[PRODUTO],$A$3)</f>
        <v>774</v>
      </c>
      <c r="E4" s="10"/>
      <c r="L4" s="311" t="s">
        <v>1302</v>
      </c>
      <c r="M4" s="316">
        <f>_xlfn.MINIFS(Table_Serviços[V. UNIT],Table_Serviços[SERVIÇO],$J$3)</f>
        <v>430</v>
      </c>
    </row>
    <row r="5" spans="1:15" ht="17.25" thickBot="1" x14ac:dyDescent="0.35">
      <c r="E5" s="10"/>
      <c r="L5" s="1"/>
      <c r="M5" s="1"/>
    </row>
    <row r="6" spans="1:15" ht="17.25" thickBot="1" x14ac:dyDescent="0.35">
      <c r="A6" s="317" t="s">
        <v>981</v>
      </c>
      <c r="B6" s="313" t="s">
        <v>1303</v>
      </c>
      <c r="C6" s="314" t="s">
        <v>1216</v>
      </c>
      <c r="D6" s="317" t="s">
        <v>1217</v>
      </c>
      <c r="E6" s="313" t="s">
        <v>1218</v>
      </c>
      <c r="F6" s="317" t="s">
        <v>1219</v>
      </c>
      <c r="G6" s="317" t="s">
        <v>0</v>
      </c>
      <c r="H6" s="315" t="s">
        <v>1</v>
      </c>
      <c r="J6" s="317" t="s">
        <v>1236</v>
      </c>
      <c r="K6" s="313" t="s">
        <v>1239</v>
      </c>
      <c r="L6" s="313" t="s">
        <v>1218</v>
      </c>
      <c r="M6" s="313" t="s">
        <v>1219</v>
      </c>
      <c r="N6" s="317" t="s">
        <v>0</v>
      </c>
      <c r="O6" s="315" t="s">
        <v>1</v>
      </c>
    </row>
    <row r="7" spans="1:15" x14ac:dyDescent="0.3">
      <c r="A7" s="1" t="str" cm="1">
        <f t="array" ref="A7:H8">_xlfn._xlws.SORT(_xlfn._xlws.FILTER(Table_Produtos[],Table_Produtos[PRODUTO]=$A$3,"error"),5,-1)</f>
        <v>CORREIA DE TRAÇÃO 14MM - BRAVO / VISIO+ 125</v>
      </c>
      <c r="B7" s="1" t="str">
        <v>(Un)</v>
      </c>
      <c r="C7" s="1">
        <v>1</v>
      </c>
      <c r="D7" s="1">
        <v>40029990</v>
      </c>
      <c r="E7" s="25">
        <v>774</v>
      </c>
      <c r="F7" s="10">
        <v>774</v>
      </c>
      <c r="G7" s="1" t="str">
        <v>EQS Engenharia</v>
      </c>
      <c r="H7" s="78">
        <v>1771</v>
      </c>
      <c r="J7" s="1" t="str" cm="1">
        <f t="array" ref="J7:O53">_xlfn._xlws.SORT(_xlfn._xlws.FILTER(Table_Serviços[],Table_Serviços[SERVIÇO]=$J$3,"error"),3,-1)</f>
        <v>SERVIÇO DE PINTURA / ANODIZAÇÃO DE OPERADOR / FOLHA</v>
      </c>
      <c r="K7" s="1" t="str">
        <v>1.00</v>
      </c>
      <c r="L7" s="10">
        <v>1620</v>
      </c>
      <c r="M7" s="10">
        <v>1620</v>
      </c>
      <c r="N7" s="1" t="str">
        <v>Irmãos Madalosso</v>
      </c>
      <c r="O7" s="1">
        <v>1754</v>
      </c>
    </row>
    <row r="8" spans="1:15" x14ac:dyDescent="0.3">
      <c r="A8" s="1" t="str">
        <v>CORREIA DE TRAÇÃO 14MM - BRAVO / VISIO+ 125</v>
      </c>
      <c r="B8" s="1" t="str">
        <v>(Un)</v>
      </c>
      <c r="C8" s="1">
        <v>1</v>
      </c>
      <c r="D8" s="1">
        <v>40029990</v>
      </c>
      <c r="E8" s="25">
        <v>774</v>
      </c>
      <c r="F8" s="10">
        <v>774</v>
      </c>
      <c r="G8" s="1" t="str">
        <v>Multi Turbo</v>
      </c>
      <c r="H8" s="78">
        <v>1803</v>
      </c>
      <c r="J8" s="1" t="str">
        <v>SERVIÇO DE PINTURA / ANODIZAÇÃO DE OPERADOR / FOLHA</v>
      </c>
      <c r="K8" s="1" t="str">
        <v>1.00</v>
      </c>
      <c r="L8" s="10">
        <v>1390</v>
      </c>
      <c r="M8" s="10">
        <v>1390</v>
      </c>
      <c r="N8" s="1" t="str">
        <v>Rissi Fachadas</v>
      </c>
      <c r="O8" s="1">
        <v>1802</v>
      </c>
    </row>
    <row r="9" spans="1:15" x14ac:dyDescent="0.3">
      <c r="J9" s="1" t="str">
        <v>SERVIÇO DE PINTURA / ANODIZAÇÃO DE OPERADOR / FOLHA</v>
      </c>
      <c r="K9" s="1" t="str">
        <v>1.00</v>
      </c>
      <c r="L9" s="10">
        <v>1230</v>
      </c>
      <c r="M9" s="10">
        <v>1230</v>
      </c>
      <c r="N9" s="1" t="str">
        <v>Irmãos Madalosso</v>
      </c>
      <c r="O9" s="1">
        <v>1755</v>
      </c>
    </row>
    <row r="10" spans="1:15" x14ac:dyDescent="0.3">
      <c r="J10" s="1" t="str">
        <v>SERVIÇO DE PINTURA / ANODIZAÇÃO DE OPERADOR / FOLHA</v>
      </c>
      <c r="K10" s="1" t="str">
        <v>1.00</v>
      </c>
      <c r="L10" s="10">
        <v>1150</v>
      </c>
      <c r="M10" s="10">
        <v>1150</v>
      </c>
      <c r="N10" s="1" t="str">
        <v>Supermercado Jacomar</v>
      </c>
      <c r="O10" s="1">
        <v>1707</v>
      </c>
    </row>
    <row r="11" spans="1:15" x14ac:dyDescent="0.3">
      <c r="J11" s="1" t="str">
        <v>SERVIÇO DE PINTURA / ANODIZAÇÃO DE OPERADOR / FOLHA</v>
      </c>
      <c r="K11" s="1" t="str">
        <v>1.00</v>
      </c>
      <c r="L11" s="10">
        <v>980</v>
      </c>
      <c r="M11" s="10">
        <v>980</v>
      </c>
      <c r="N11" s="1" t="str">
        <v>Supermercado Jacomar</v>
      </c>
      <c r="O11" s="1">
        <v>1706</v>
      </c>
    </row>
    <row r="12" spans="1:15" x14ac:dyDescent="0.3">
      <c r="J12" s="1" t="str">
        <v>SERVIÇO DE PINTURA / ANODIZAÇÃO DE OPERADOR / FOLHA</v>
      </c>
      <c r="K12" s="1" t="str">
        <v>1.00</v>
      </c>
      <c r="L12" s="10">
        <v>890</v>
      </c>
      <c r="M12" s="10">
        <v>890</v>
      </c>
      <c r="N12" s="1" t="str">
        <v>Selection Locadora</v>
      </c>
      <c r="O12" s="1">
        <v>1701</v>
      </c>
    </row>
    <row r="13" spans="1:15" x14ac:dyDescent="0.3">
      <c r="J13" s="1" t="str">
        <v>SERVIÇO DE PINTURA / ANODIZAÇÃO DE OPERADOR / FOLHA</v>
      </c>
      <c r="K13" s="1" t="str">
        <v>1.00</v>
      </c>
      <c r="L13" s="10">
        <v>890</v>
      </c>
      <c r="M13" s="10">
        <v>890</v>
      </c>
      <c r="N13" s="1" t="str">
        <v>Rissi Fachadas</v>
      </c>
      <c r="O13" s="1">
        <v>1750</v>
      </c>
    </row>
    <row r="14" spans="1:15" x14ac:dyDescent="0.3">
      <c r="J14" s="1" t="str">
        <v>SERVIÇO DE PINTURA / ANODIZAÇÃO DE OPERADOR / FOLHA</v>
      </c>
      <c r="K14" s="1" t="str">
        <v>1.00</v>
      </c>
      <c r="L14" s="10">
        <v>890</v>
      </c>
      <c r="M14" s="10">
        <v>890</v>
      </c>
      <c r="N14" s="1" t="str">
        <v>Irmãos Madalosso</v>
      </c>
      <c r="O14" s="1">
        <v>1752</v>
      </c>
    </row>
    <row r="15" spans="1:15" x14ac:dyDescent="0.3">
      <c r="J15" s="1" t="str">
        <v>SERVIÇO DE PINTURA / ANODIZAÇÃO DE OPERADOR / FOLHA</v>
      </c>
      <c r="K15" s="1" t="str">
        <v>1.00</v>
      </c>
      <c r="L15" s="10">
        <v>890</v>
      </c>
      <c r="M15" s="10">
        <v>890</v>
      </c>
      <c r="N15" s="1" t="str">
        <v>Irmãos Madalosso</v>
      </c>
      <c r="O15" s="1">
        <v>1753</v>
      </c>
    </row>
    <row r="16" spans="1:15" x14ac:dyDescent="0.3">
      <c r="J16" s="1" t="str">
        <v>SERVIÇO DE PINTURA / ANODIZAÇÃO DE OPERADOR / FOLHA</v>
      </c>
      <c r="K16" s="1" t="str">
        <v>1.00</v>
      </c>
      <c r="L16" s="10">
        <v>890</v>
      </c>
      <c r="M16" s="10">
        <v>890</v>
      </c>
      <c r="N16" s="1" t="str">
        <v>Vidraçaria Passarela</v>
      </c>
      <c r="O16" s="1">
        <v>1790</v>
      </c>
    </row>
    <row r="17" spans="10:15" x14ac:dyDescent="0.3">
      <c r="J17" s="1" t="str">
        <v>SERVIÇO DE PINTURA / ANODIZAÇÃO DE OPERADOR / FOLHA</v>
      </c>
      <c r="K17" s="1" t="str">
        <v>1.00</v>
      </c>
      <c r="L17" s="10">
        <v>850</v>
      </c>
      <c r="M17" s="10">
        <v>850</v>
      </c>
      <c r="N17" s="1" t="str">
        <v>Lavitta Engenharia</v>
      </c>
      <c r="O17" s="1">
        <v>1764</v>
      </c>
    </row>
    <row r="18" spans="10:15" x14ac:dyDescent="0.3">
      <c r="J18" s="1" t="str">
        <v>SERVIÇO DE PINTURA / ANODIZAÇÃO DE OPERADOR / FOLHA</v>
      </c>
      <c r="K18" s="1" t="str">
        <v>1.00</v>
      </c>
      <c r="L18" s="10">
        <v>850</v>
      </c>
      <c r="M18" s="10">
        <v>850</v>
      </c>
      <c r="N18" s="1" t="str">
        <v>Giben do Brasil</v>
      </c>
      <c r="O18" s="1">
        <v>1801</v>
      </c>
    </row>
    <row r="19" spans="10:15" x14ac:dyDescent="0.3">
      <c r="J19" s="1" t="str">
        <v>SERVIÇO DE PINTURA / ANODIZAÇÃO DE OPERADOR / FOLHA</v>
      </c>
      <c r="K19" s="1" t="str">
        <v>1.00</v>
      </c>
      <c r="L19" s="10">
        <v>790</v>
      </c>
      <c r="M19" s="10">
        <v>790</v>
      </c>
      <c r="N19" s="1" t="str">
        <v>Nova Vidraçaria</v>
      </c>
      <c r="O19" s="1">
        <v>1723</v>
      </c>
    </row>
    <row r="20" spans="10:15" x14ac:dyDescent="0.3">
      <c r="J20" s="1" t="str">
        <v>SERVIÇO DE PINTURA / ANODIZAÇÃO DE OPERADOR / FOLHA</v>
      </c>
      <c r="K20" s="1" t="str">
        <v>1.00</v>
      </c>
      <c r="L20" s="10">
        <v>790</v>
      </c>
      <c r="M20" s="10">
        <v>790</v>
      </c>
      <c r="N20" s="1" t="str">
        <v>AD&amp;N Consultoria</v>
      </c>
      <c r="O20" s="1">
        <v>1732</v>
      </c>
    </row>
    <row r="21" spans="10:15" x14ac:dyDescent="0.3">
      <c r="J21" s="1" t="str">
        <v>SERVIÇO DE PINTURA / ANODIZAÇÃO DE OPERADOR / FOLHA</v>
      </c>
      <c r="K21" s="1" t="str">
        <v>1.00</v>
      </c>
      <c r="L21" s="10">
        <v>690</v>
      </c>
      <c r="M21" s="10">
        <v>690</v>
      </c>
      <c r="N21" s="1" t="str">
        <v>Netcom Construtora</v>
      </c>
      <c r="O21" s="1">
        <v>1590</v>
      </c>
    </row>
    <row r="22" spans="10:15" x14ac:dyDescent="0.3">
      <c r="J22" s="1" t="str">
        <v>SERVIÇO DE PINTURA / ANODIZAÇÃO DE OPERADOR / FOLHA</v>
      </c>
      <c r="K22" s="1" t="str">
        <v>1.00</v>
      </c>
      <c r="L22" s="10">
        <v>680</v>
      </c>
      <c r="M22" s="10">
        <v>680</v>
      </c>
      <c r="N22" s="1" t="str">
        <v>Globo Esquadrias de Alumínio</v>
      </c>
      <c r="O22" s="1">
        <v>1711</v>
      </c>
    </row>
    <row r="23" spans="10:15" x14ac:dyDescent="0.3">
      <c r="J23" s="1" t="str">
        <v>SERVIÇO DE PINTURA / ANODIZAÇÃO DE OPERADOR / FOLHA</v>
      </c>
      <c r="K23" s="1" t="str">
        <v>1.00</v>
      </c>
      <c r="L23" s="10">
        <v>680</v>
      </c>
      <c r="M23" s="10">
        <v>680</v>
      </c>
      <c r="N23" s="1" t="str">
        <v>Fullpack Embalagens</v>
      </c>
      <c r="O23" s="1">
        <v>1712</v>
      </c>
    </row>
    <row r="24" spans="10:15" x14ac:dyDescent="0.3">
      <c r="J24" s="1" t="str">
        <v>SERVIÇO DE PINTURA / ANODIZAÇÃO DE OPERADOR / FOLHA</v>
      </c>
      <c r="K24" s="1" t="str">
        <v>1.00</v>
      </c>
      <c r="L24" s="10">
        <v>680</v>
      </c>
      <c r="M24" s="10">
        <v>680</v>
      </c>
      <c r="N24" s="1" t="str">
        <v>Fullpack Embalagens</v>
      </c>
      <c r="O24" s="1">
        <v>1713</v>
      </c>
    </row>
    <row r="25" spans="10:15" x14ac:dyDescent="0.3">
      <c r="J25" s="1" t="str">
        <v>SERVIÇO DE PINTURA / ANODIZAÇÃO DE OPERADOR / FOLHA</v>
      </c>
      <c r="K25" s="1" t="str">
        <v>1.00</v>
      </c>
      <c r="L25" s="10">
        <v>680</v>
      </c>
      <c r="M25" s="10">
        <v>680</v>
      </c>
      <c r="N25" s="1" t="str">
        <v>GFA Hotelaria</v>
      </c>
      <c r="O25" s="1">
        <v>1714</v>
      </c>
    </row>
    <row r="26" spans="10:15" x14ac:dyDescent="0.3">
      <c r="J26" s="1" t="str">
        <v>SERVIÇO DE PINTURA / ANODIZAÇÃO DE OPERADOR / FOLHA</v>
      </c>
      <c r="K26" s="1" t="str">
        <v>1.00</v>
      </c>
      <c r="L26" s="10">
        <v>680</v>
      </c>
      <c r="M26" s="10">
        <v>680</v>
      </c>
      <c r="N26" s="1" t="str">
        <v>GFA Hotelaria</v>
      </c>
      <c r="O26" s="1">
        <v>1716</v>
      </c>
    </row>
    <row r="27" spans="10:15" x14ac:dyDescent="0.3">
      <c r="J27" s="1" t="str">
        <v>SERVIÇO DE PINTURA / ANODIZAÇÃO DE OPERADOR / FOLHA</v>
      </c>
      <c r="K27" s="1" t="str">
        <v>3.00</v>
      </c>
      <c r="L27" s="10">
        <v>680</v>
      </c>
      <c r="M27" s="10">
        <v>2040</v>
      </c>
      <c r="N27" s="1" t="str">
        <v>JRM Esquadrias</v>
      </c>
      <c r="O27" s="1">
        <v>1717</v>
      </c>
    </row>
    <row r="28" spans="10:15" x14ac:dyDescent="0.3">
      <c r="J28" s="1" t="str">
        <v>SERVIÇO DE PINTURA / ANODIZAÇÃO DE OPERADOR / FOLHA</v>
      </c>
      <c r="K28" s="1" t="str">
        <v>1.00</v>
      </c>
      <c r="L28" s="10">
        <v>680</v>
      </c>
      <c r="M28" s="10">
        <v>680</v>
      </c>
      <c r="N28" s="1" t="str">
        <v>SECOVIMED</v>
      </c>
      <c r="O28" s="1">
        <v>1727</v>
      </c>
    </row>
    <row r="29" spans="10:15" x14ac:dyDescent="0.3">
      <c r="J29" s="1" t="str">
        <v>SERVIÇO DE PINTURA / ANODIZAÇÃO DE OPERADOR / FOLHA</v>
      </c>
      <c r="K29" s="1" t="str">
        <v>1.00</v>
      </c>
      <c r="L29" s="10">
        <v>680</v>
      </c>
      <c r="M29" s="10">
        <v>680</v>
      </c>
      <c r="N29" s="1" t="str">
        <v>Top Mix</v>
      </c>
      <c r="O29" s="1">
        <v>1729</v>
      </c>
    </row>
    <row r="30" spans="10:15" x14ac:dyDescent="0.3">
      <c r="J30" s="1" t="str">
        <v>SERVIÇO DE PINTURA / ANODIZAÇÃO DE OPERADOR / FOLHA</v>
      </c>
      <c r="K30" s="1" t="str">
        <v>1.00</v>
      </c>
      <c r="L30" s="10">
        <v>680</v>
      </c>
      <c r="M30" s="10">
        <v>680</v>
      </c>
      <c r="N30" s="1" t="str">
        <v>Edfifício Juarez Machado</v>
      </c>
      <c r="O30" s="1">
        <v>1751</v>
      </c>
    </row>
    <row r="31" spans="10:15" x14ac:dyDescent="0.3">
      <c r="J31" s="1" t="str">
        <v>SERVIÇO DE PINTURA / ANODIZAÇÃO DE OPERADOR / FOLHA</v>
      </c>
      <c r="K31" s="1" t="str">
        <v>1.00</v>
      </c>
      <c r="L31" s="10">
        <v>680</v>
      </c>
      <c r="M31" s="10">
        <v>680</v>
      </c>
      <c r="N31" s="1" t="str">
        <v>Cooperativa Agraria</v>
      </c>
      <c r="O31" s="1">
        <v>1758</v>
      </c>
    </row>
    <row r="32" spans="10:15" x14ac:dyDescent="0.3">
      <c r="J32" s="1" t="str">
        <v>SERVIÇO DE PINTURA / ANODIZAÇÃO DE OPERADOR / FOLHA</v>
      </c>
      <c r="K32" s="1" t="str">
        <v>1.00</v>
      </c>
      <c r="L32" s="10">
        <v>680</v>
      </c>
      <c r="M32" s="10">
        <v>680</v>
      </c>
      <c r="N32" s="1" t="str">
        <v>João Vitor Lemos</v>
      </c>
      <c r="O32" s="1">
        <v>1759</v>
      </c>
    </row>
    <row r="33" spans="10:15" x14ac:dyDescent="0.3">
      <c r="J33" s="1" t="str">
        <v>SERVIÇO DE PINTURA / ANODIZAÇÃO DE OPERADOR / FOLHA</v>
      </c>
      <c r="K33" s="1" t="str">
        <v>1.00</v>
      </c>
      <c r="L33" s="10">
        <v>680</v>
      </c>
      <c r="M33" s="10">
        <v>680</v>
      </c>
      <c r="N33" s="1" t="str">
        <v>União Champagnat de Educação</v>
      </c>
      <c r="O33" s="1">
        <v>1761</v>
      </c>
    </row>
    <row r="34" spans="10:15" x14ac:dyDescent="0.3">
      <c r="J34" s="1" t="str">
        <v>SERVIÇO DE PINTURA / ANODIZAÇÃO DE OPERADOR / FOLHA</v>
      </c>
      <c r="K34" s="1" t="str">
        <v>1.00</v>
      </c>
      <c r="L34" s="10">
        <v>680</v>
      </c>
      <c r="M34" s="10">
        <v>680</v>
      </c>
      <c r="N34" s="1" t="str">
        <v>União Champagnat de Educação</v>
      </c>
      <c r="O34" s="1">
        <v>1762</v>
      </c>
    </row>
    <row r="35" spans="10:15" x14ac:dyDescent="0.3">
      <c r="J35" s="1" t="str">
        <v>SERVIÇO DE PINTURA / ANODIZAÇÃO DE OPERADOR / FOLHA</v>
      </c>
      <c r="K35" s="1" t="str">
        <v>1.00</v>
      </c>
      <c r="L35" s="10">
        <v>680</v>
      </c>
      <c r="M35" s="10">
        <v>680</v>
      </c>
      <c r="N35" s="1" t="str">
        <v>Studio Ceia Neris</v>
      </c>
      <c r="O35" s="1">
        <v>1765</v>
      </c>
    </row>
    <row r="36" spans="10:15" x14ac:dyDescent="0.3">
      <c r="J36" s="1" t="str">
        <v>SERVIÇO DE PINTURA / ANODIZAÇÃO DE OPERADOR / FOLHA</v>
      </c>
      <c r="K36" s="1" t="str">
        <v>1.00</v>
      </c>
      <c r="L36" s="10">
        <v>680</v>
      </c>
      <c r="M36" s="10">
        <v>680</v>
      </c>
      <c r="N36" s="1" t="str">
        <v>Eletro Reymaster</v>
      </c>
      <c r="O36" s="1">
        <v>1766</v>
      </c>
    </row>
    <row r="37" spans="10:15" x14ac:dyDescent="0.3">
      <c r="J37" s="1" t="str">
        <v>SERVIÇO DE PINTURA / ANODIZAÇÃO DE OPERADOR / FOLHA</v>
      </c>
      <c r="K37" s="1" t="str">
        <v>1.00</v>
      </c>
      <c r="L37" s="10">
        <v>680</v>
      </c>
      <c r="M37" s="10">
        <v>680</v>
      </c>
      <c r="N37" s="1" t="str">
        <v>Medlabs Laboratório</v>
      </c>
      <c r="O37" s="1">
        <v>1767</v>
      </c>
    </row>
    <row r="38" spans="10:15" x14ac:dyDescent="0.3">
      <c r="J38" s="1" t="str">
        <v>SERVIÇO DE PINTURA / ANODIZAÇÃO DE OPERADOR / FOLHA</v>
      </c>
      <c r="K38" s="1" t="str">
        <v>1.00</v>
      </c>
      <c r="L38" s="10">
        <v>680</v>
      </c>
      <c r="M38" s="10">
        <v>680</v>
      </c>
      <c r="N38" s="1" t="str">
        <v>Joselito Smokanytz</v>
      </c>
      <c r="O38" s="1">
        <v>1773</v>
      </c>
    </row>
    <row r="39" spans="10:15" x14ac:dyDescent="0.3">
      <c r="J39" s="1" t="str">
        <v>SERVIÇO DE PINTURA / ANODIZAÇÃO DE OPERADOR / FOLHA</v>
      </c>
      <c r="K39" s="1" t="str">
        <v>1.00</v>
      </c>
      <c r="L39" s="10">
        <v>680</v>
      </c>
      <c r="M39" s="10">
        <v>680</v>
      </c>
      <c r="N39" s="1" t="str">
        <v>Joselito Smokanytz</v>
      </c>
      <c r="O39" s="1">
        <v>1774</v>
      </c>
    </row>
    <row r="40" spans="10:15" x14ac:dyDescent="0.3">
      <c r="J40" s="1" t="str">
        <v>SERVIÇO DE PINTURA / ANODIZAÇÃO DE OPERADOR / FOLHA</v>
      </c>
      <c r="K40" s="1" t="str">
        <v>3.00</v>
      </c>
      <c r="L40" s="10">
        <v>680</v>
      </c>
      <c r="M40" s="10">
        <v>2040</v>
      </c>
      <c r="N40" s="1" t="str">
        <v>Hospital Nossa Senhora das Graças</v>
      </c>
      <c r="O40" s="1">
        <v>1782</v>
      </c>
    </row>
    <row r="41" spans="10:15" x14ac:dyDescent="0.3">
      <c r="J41" s="1" t="str">
        <v>SERVIÇO DE PINTURA / ANODIZAÇÃO DE OPERADOR / FOLHA</v>
      </c>
      <c r="K41" s="1" t="str">
        <v>1.00</v>
      </c>
      <c r="L41" s="10">
        <v>680</v>
      </c>
      <c r="M41" s="10">
        <v>680</v>
      </c>
      <c r="N41" s="1" t="str">
        <v>Intecso</v>
      </c>
      <c r="O41" s="1">
        <v>1788</v>
      </c>
    </row>
    <row r="42" spans="10:15" x14ac:dyDescent="0.3">
      <c r="J42" s="1" t="str">
        <v>SERVIÇO DE PINTURA / ANODIZAÇÃO DE OPERADOR / FOLHA</v>
      </c>
      <c r="K42" s="1" t="str">
        <v>1.00</v>
      </c>
      <c r="L42" s="10">
        <v>680</v>
      </c>
      <c r="M42" s="10">
        <v>680</v>
      </c>
      <c r="N42" s="1" t="str">
        <v>ABI Administração</v>
      </c>
      <c r="O42" s="1">
        <v>1794</v>
      </c>
    </row>
    <row r="43" spans="10:15" x14ac:dyDescent="0.3">
      <c r="J43" s="1" t="str">
        <v>SERVIÇO DE PINTURA / ANODIZAÇÃO DE OPERADOR / FOLHA</v>
      </c>
      <c r="K43" s="1" t="str">
        <v>1.00</v>
      </c>
      <c r="L43" s="10">
        <v>680</v>
      </c>
      <c r="M43" s="10">
        <v>680</v>
      </c>
      <c r="N43" s="1" t="str">
        <v>ABI Administração</v>
      </c>
      <c r="O43" s="1">
        <v>1795</v>
      </c>
    </row>
    <row r="44" spans="10:15" x14ac:dyDescent="0.3">
      <c r="J44" s="1" t="str">
        <v>SERVIÇO DE PINTURA / ANODIZAÇÃO DE OPERADOR / FOLHA</v>
      </c>
      <c r="K44" s="1" t="str">
        <v>1.00</v>
      </c>
      <c r="L44" s="10">
        <v>660</v>
      </c>
      <c r="M44" s="10">
        <v>660</v>
      </c>
      <c r="N44" s="1" t="str">
        <v>Arce Construtora</v>
      </c>
      <c r="O44" s="1">
        <v>1699</v>
      </c>
    </row>
    <row r="45" spans="10:15" x14ac:dyDescent="0.3">
      <c r="J45" s="1" t="str">
        <v>SERVIÇO DE PINTURA / ANODIZAÇÃO DE OPERADOR / FOLHA</v>
      </c>
      <c r="K45" s="1" t="str">
        <v>28.00</v>
      </c>
      <c r="L45" s="10">
        <v>650</v>
      </c>
      <c r="M45" s="10">
        <v>18200</v>
      </c>
      <c r="N45" s="1" t="str">
        <v>Hospital Nossa Senhora das Graças</v>
      </c>
      <c r="O45" s="1">
        <v>1728</v>
      </c>
    </row>
    <row r="46" spans="10:15" x14ac:dyDescent="0.3">
      <c r="J46" s="1" t="str">
        <v>SERVIÇO DE PINTURA / ANODIZAÇÃO DE OPERADOR / FOLHA</v>
      </c>
      <c r="K46" s="1" t="str">
        <v>4.00</v>
      </c>
      <c r="L46" s="10">
        <v>650</v>
      </c>
      <c r="M46" s="10">
        <v>2600</v>
      </c>
      <c r="N46" s="1" t="str">
        <v>Hospital Nossa Senhora das Graças</v>
      </c>
      <c r="O46" s="1">
        <v>1740</v>
      </c>
    </row>
    <row r="47" spans="10:15" x14ac:dyDescent="0.3">
      <c r="J47" s="1" t="str">
        <v>SERVIÇO DE PINTURA / ANODIZAÇÃO DE OPERADOR / FOLHA</v>
      </c>
      <c r="K47" s="1" t="str">
        <v>1.00</v>
      </c>
      <c r="L47" s="10">
        <v>650</v>
      </c>
      <c r="M47" s="10">
        <v>650</v>
      </c>
      <c r="N47" s="1" t="str">
        <v>ABL System</v>
      </c>
      <c r="O47" s="1">
        <v>1742</v>
      </c>
    </row>
    <row r="48" spans="10:15" x14ac:dyDescent="0.3">
      <c r="J48" s="1" t="str">
        <v>SERVIÇO DE PINTURA / ANODIZAÇÃO DE OPERADOR / FOLHA</v>
      </c>
      <c r="K48" s="1" t="str">
        <v>1.00</v>
      </c>
      <c r="L48" s="10">
        <v>625</v>
      </c>
      <c r="M48" s="10">
        <v>625</v>
      </c>
      <c r="N48" s="1" t="str">
        <v>Village Hotel</v>
      </c>
      <c r="O48" s="1">
        <v>1695</v>
      </c>
    </row>
    <row r="49" spans="10:15" x14ac:dyDescent="0.3">
      <c r="J49" s="1" t="str">
        <v>SERVIÇO DE PINTURA / ANODIZAÇÃO DE OPERADOR / FOLHA</v>
      </c>
      <c r="K49" s="1" t="str">
        <v>1.00</v>
      </c>
      <c r="L49" s="10">
        <v>590</v>
      </c>
      <c r="M49" s="10">
        <v>590</v>
      </c>
      <c r="N49" s="1" t="str">
        <v>Mobilli Sistema de Divisórias</v>
      </c>
      <c r="O49" s="1">
        <v>1698</v>
      </c>
    </row>
    <row r="50" spans="10:15" x14ac:dyDescent="0.3">
      <c r="J50" s="1" t="str">
        <v>SERVIÇO DE PINTURA / ANODIZAÇÃO DE OPERADOR / FOLHA</v>
      </c>
      <c r="K50" s="1" t="str">
        <v>1.00</v>
      </c>
      <c r="L50" s="10">
        <v>590</v>
      </c>
      <c r="M50" s="10">
        <v>590</v>
      </c>
      <c r="N50" s="1" t="str">
        <v>Cassio Vidraçaria</v>
      </c>
      <c r="O50" s="1">
        <v>1804</v>
      </c>
    </row>
    <row r="51" spans="10:15" x14ac:dyDescent="0.3">
      <c r="J51" s="1" t="str">
        <v>SERVIÇO DE PINTURA / ANODIZAÇÃO DE OPERADOR / FOLHA</v>
      </c>
      <c r="K51" s="1" t="str">
        <v>2.00</v>
      </c>
      <c r="L51" s="10">
        <v>580</v>
      </c>
      <c r="M51" s="10">
        <v>1160</v>
      </c>
      <c r="N51" s="1" t="str">
        <v>Itapema Camara Municipal</v>
      </c>
      <c r="O51" s="1">
        <v>1737</v>
      </c>
    </row>
    <row r="52" spans="10:15" x14ac:dyDescent="0.3">
      <c r="J52" s="1" t="str">
        <v>SERVIÇO DE PINTURA / ANODIZAÇÃO DE OPERADOR / FOLHA</v>
      </c>
      <c r="K52" s="1" t="str">
        <v>1.00</v>
      </c>
      <c r="L52" s="10">
        <v>480</v>
      </c>
      <c r="M52" s="10">
        <v>480</v>
      </c>
      <c r="N52" s="1" t="str">
        <v>Arce Construtora</v>
      </c>
      <c r="O52" s="1">
        <v>1778</v>
      </c>
    </row>
    <row r="53" spans="10:15" x14ac:dyDescent="0.3">
      <c r="J53" s="1" t="str">
        <v>SERVIÇO DE PINTURA / ANODIZAÇÃO DE OPERADOR / FOLHA</v>
      </c>
      <c r="K53" s="1" t="str">
        <v>3.00</v>
      </c>
      <c r="L53" s="10">
        <v>430</v>
      </c>
      <c r="M53" s="10">
        <v>1290</v>
      </c>
      <c r="N53" s="1" t="str">
        <v>SECOVIMED</v>
      </c>
      <c r="O53" s="1">
        <v>1726</v>
      </c>
    </row>
  </sheetData>
  <dataValidations count="2">
    <dataValidation type="list" allowBlank="1" showInputMessage="1" showErrorMessage="1" sqref="A3" xr:uid="{EEF89890-0B72-4A5C-BE53-7A9950A23F48}">
      <formula1>Produtos</formula1>
    </dataValidation>
    <dataValidation type="list" allowBlank="1" showInputMessage="1" showErrorMessage="1" sqref="J3" xr:uid="{26EC876B-321A-4CF5-BDDF-29BB2AFFCA1F}">
      <formula1>Serviços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BD02-250D-4967-A14F-5BEBBAB4366B}">
  <sheetPr>
    <tabColor theme="7"/>
  </sheetPr>
  <dimension ref="A1"/>
  <sheetViews>
    <sheetView workbookViewId="0">
      <selection activeCell="E17" sqref="E17"/>
    </sheetView>
  </sheetViews>
  <sheetFormatPr defaultRowHeight="16.5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7B63-3C57-47E5-97B3-1A1A44CA3FE4}">
  <sheetPr>
    <tabColor theme="3"/>
  </sheetPr>
  <dimension ref="A1:O240"/>
  <sheetViews>
    <sheetView showGridLines="0" tabSelected="1" zoomScale="80" zoomScaleNormal="80" workbookViewId="0">
      <pane ySplit="1" topLeftCell="A220" activePane="bottomLeft" state="frozen"/>
      <selection pane="bottomLeft" activeCell="A241" sqref="A241"/>
    </sheetView>
  </sheetViews>
  <sheetFormatPr defaultRowHeight="16.5" x14ac:dyDescent="0.3"/>
  <cols>
    <col min="1" max="1" width="8.375" style="230" bestFit="1" customWidth="1"/>
    <col min="2" max="2" width="43.25" style="4" customWidth="1"/>
    <col min="3" max="3" width="17.375" bestFit="1" customWidth="1"/>
    <col min="4" max="4" width="10" style="90" bestFit="1" customWidth="1"/>
    <col min="5" max="5" width="19.5" style="1" bestFit="1" customWidth="1"/>
    <col min="6" max="6" width="10.625" style="78" bestFit="1" customWidth="1"/>
    <col min="7" max="7" width="58.25" style="1" customWidth="1"/>
    <col min="8" max="8" width="51" style="85" customWidth="1"/>
    <col min="9" max="9" width="14.125" bestFit="1" customWidth="1"/>
    <col min="10" max="10" width="16.375" bestFit="1" customWidth="1"/>
    <col min="11" max="11" width="29" bestFit="1" customWidth="1"/>
    <col min="12" max="12" width="9.125" style="1" bestFit="1" customWidth="1"/>
    <col min="13" max="13" width="9.625" style="1" bestFit="1" customWidth="1"/>
    <col min="14" max="14" width="7.125" style="22" bestFit="1" customWidth="1"/>
    <col min="15" max="15" width="7.625" style="1" bestFit="1" customWidth="1"/>
    <col min="16" max="16" width="13.5" customWidth="1"/>
    <col min="17" max="17" width="25.375" bestFit="1" customWidth="1"/>
    <col min="18" max="18" width="6.75" customWidth="1"/>
  </cols>
  <sheetData>
    <row r="1" spans="1:13" customFormat="1" ht="17.25" thickBot="1" x14ac:dyDescent="0.35">
      <c r="A1" s="227" t="s">
        <v>1</v>
      </c>
      <c r="B1" s="92" t="s">
        <v>0</v>
      </c>
      <c r="C1" s="151" t="s">
        <v>364</v>
      </c>
      <c r="D1" s="140" t="s">
        <v>49</v>
      </c>
      <c r="E1" s="65" t="s">
        <v>365</v>
      </c>
      <c r="F1" s="79" t="s">
        <v>372</v>
      </c>
      <c r="G1" s="65" t="s">
        <v>373</v>
      </c>
      <c r="H1" s="83" t="s">
        <v>369</v>
      </c>
      <c r="I1" s="74" t="s">
        <v>370</v>
      </c>
      <c r="J1" s="64" t="s">
        <v>77</v>
      </c>
      <c r="K1" s="77" t="s">
        <v>31</v>
      </c>
      <c r="L1" s="64" t="s">
        <v>7</v>
      </c>
      <c r="M1" s="64" t="s">
        <v>6</v>
      </c>
    </row>
    <row r="2" spans="1:13" customFormat="1" x14ac:dyDescent="0.3">
      <c r="A2" s="228">
        <v>115</v>
      </c>
      <c r="B2" s="218" t="s">
        <v>432</v>
      </c>
      <c r="C2" s="152">
        <v>28360.9</v>
      </c>
      <c r="D2" s="141">
        <v>5011</v>
      </c>
      <c r="E2" s="67">
        <v>22940.9</v>
      </c>
      <c r="F2" s="80">
        <v>5102</v>
      </c>
      <c r="G2" s="67" t="str">
        <f>VLOOKUP(F2,CFOP[],2,FALSE)</f>
        <v xml:space="preserve">Venda de mercadoria adquirida ou recebida de terceiros </v>
      </c>
      <c r="H2" s="84" t="s">
        <v>720</v>
      </c>
      <c r="I2" s="75">
        <v>45740</v>
      </c>
      <c r="J2" s="66" t="s">
        <v>359</v>
      </c>
      <c r="K2" s="70"/>
      <c r="L2" s="66" t="s">
        <v>12</v>
      </c>
      <c r="M2" s="66" t="s">
        <v>12</v>
      </c>
    </row>
    <row r="3" spans="1:13" customFormat="1" x14ac:dyDescent="0.3">
      <c r="A3" s="228">
        <v>327</v>
      </c>
      <c r="B3" s="218" t="s">
        <v>438</v>
      </c>
      <c r="C3" s="152">
        <v>6468.4</v>
      </c>
      <c r="D3" s="141">
        <v>5200</v>
      </c>
      <c r="E3" s="67">
        <v>2918.4</v>
      </c>
      <c r="F3" s="81">
        <v>5102</v>
      </c>
      <c r="G3" s="67" t="str">
        <f>VLOOKUP(F3,CFOP[],2,FALSE)</f>
        <v xml:space="preserve">Venda de mercadoria adquirida ou recebida de terceiros </v>
      </c>
      <c r="H3" s="84" t="s">
        <v>719</v>
      </c>
      <c r="I3" s="75">
        <v>45870</v>
      </c>
      <c r="J3" s="66" t="s">
        <v>359</v>
      </c>
      <c r="K3" s="70"/>
      <c r="L3" s="66" t="s">
        <v>12</v>
      </c>
      <c r="M3" s="66" t="s">
        <v>12</v>
      </c>
    </row>
    <row r="4" spans="1:13" customFormat="1" x14ac:dyDescent="0.3">
      <c r="A4" s="228">
        <v>280</v>
      </c>
      <c r="B4" s="218" t="s">
        <v>721</v>
      </c>
      <c r="C4" s="152">
        <v>32138.53</v>
      </c>
      <c r="D4" s="141">
        <v>5248</v>
      </c>
      <c r="E4" s="67">
        <v>29138.53</v>
      </c>
      <c r="F4" s="81">
        <v>5101</v>
      </c>
      <c r="G4" s="67" t="str">
        <f>VLOOKUP(F4,CFOP[],2,FALSE)</f>
        <v xml:space="preserve">Venda de produção do estabelecimento </v>
      </c>
      <c r="H4" s="84" t="s">
        <v>722</v>
      </c>
      <c r="I4" s="75">
        <v>45905</v>
      </c>
      <c r="J4" s="66" t="s">
        <v>359</v>
      </c>
      <c r="K4" s="70"/>
      <c r="L4" s="66" t="s">
        <v>12</v>
      </c>
      <c r="M4" s="66" t="s">
        <v>12</v>
      </c>
    </row>
    <row r="5" spans="1:13" customFormat="1" x14ac:dyDescent="0.3">
      <c r="A5" s="228">
        <v>390</v>
      </c>
      <c r="B5" s="218" t="s">
        <v>467</v>
      </c>
      <c r="C5" s="152">
        <v>3586.3</v>
      </c>
      <c r="D5" s="141">
        <v>5257</v>
      </c>
      <c r="E5" s="67">
        <v>1898.8</v>
      </c>
      <c r="F5" s="81">
        <v>5102</v>
      </c>
      <c r="G5" s="67" t="str">
        <f>VLOOKUP(F5,CFOP[],2,FALSE)</f>
        <v xml:space="preserve">Venda de mercadoria adquirida ou recebida de terceiros </v>
      </c>
      <c r="H5" s="84" t="s">
        <v>723</v>
      </c>
      <c r="I5" s="75">
        <v>45916</v>
      </c>
      <c r="J5" s="66" t="s">
        <v>359</v>
      </c>
      <c r="K5" s="70"/>
      <c r="L5" s="66" t="s">
        <v>12</v>
      </c>
      <c r="M5" s="66" t="s">
        <v>12</v>
      </c>
    </row>
    <row r="6" spans="1:13" customFormat="1" x14ac:dyDescent="0.3">
      <c r="A6" s="228">
        <v>393</v>
      </c>
      <c r="B6" s="218" t="s">
        <v>467</v>
      </c>
      <c r="C6" s="152">
        <v>7558</v>
      </c>
      <c r="D6" s="141">
        <v>5292</v>
      </c>
      <c r="E6" s="67">
        <v>6038</v>
      </c>
      <c r="F6" s="81">
        <v>5102</v>
      </c>
      <c r="G6" s="67" t="str">
        <f>VLOOKUP(F6,CFOP[],2,FALSE)</f>
        <v xml:space="preserve">Venda de mercadoria adquirida ou recebida de terceiros </v>
      </c>
      <c r="H6" s="84" t="s">
        <v>724</v>
      </c>
      <c r="I6" s="75">
        <v>45938</v>
      </c>
      <c r="J6" s="66" t="s">
        <v>359</v>
      </c>
      <c r="K6" s="70"/>
      <c r="L6" s="66" t="s">
        <v>12</v>
      </c>
      <c r="M6" s="66" t="s">
        <v>12</v>
      </c>
    </row>
    <row r="7" spans="1:13" customFormat="1" x14ac:dyDescent="0.3">
      <c r="A7" s="228">
        <v>446</v>
      </c>
      <c r="B7" s="218" t="s">
        <v>421</v>
      </c>
      <c r="C7" s="152">
        <v>178</v>
      </c>
      <c r="D7" s="142">
        <v>5301</v>
      </c>
      <c r="E7" s="67">
        <v>178</v>
      </c>
      <c r="F7" s="81">
        <v>5102</v>
      </c>
      <c r="G7" s="67" t="str">
        <f>VLOOKUP(F7,CFOP[],2,FALSE)</f>
        <v xml:space="preserve">Venda de mercadoria adquirida ou recebida de terceiros </v>
      </c>
      <c r="H7" s="86" t="s">
        <v>422</v>
      </c>
      <c r="I7" s="75">
        <v>45945</v>
      </c>
      <c r="J7" s="66" t="s">
        <v>359</v>
      </c>
      <c r="K7" s="70"/>
      <c r="L7" s="66"/>
      <c r="M7" s="66"/>
    </row>
    <row r="8" spans="1:13" customFormat="1" x14ac:dyDescent="0.3">
      <c r="A8" s="228">
        <v>447</v>
      </c>
      <c r="B8" s="218" t="s">
        <v>423</v>
      </c>
      <c r="C8" s="152">
        <v>190</v>
      </c>
      <c r="D8" s="142">
        <v>5302</v>
      </c>
      <c r="E8" s="67">
        <v>190</v>
      </c>
      <c r="F8" s="81">
        <v>5102</v>
      </c>
      <c r="G8" s="67" t="str">
        <f>VLOOKUP(F8,CFOP[],2,FALSE)</f>
        <v xml:space="preserve">Venda de mercadoria adquirida ou recebida de terceiros </v>
      </c>
      <c r="H8" s="86" t="s">
        <v>424</v>
      </c>
      <c r="I8" s="75">
        <v>45945</v>
      </c>
      <c r="J8" s="66" t="s">
        <v>359</v>
      </c>
      <c r="K8" s="70"/>
      <c r="L8" s="66"/>
      <c r="M8" s="66"/>
    </row>
    <row r="9" spans="1:13" customFormat="1" x14ac:dyDescent="0.3">
      <c r="A9" s="228" t="s">
        <v>15</v>
      </c>
      <c r="B9" s="218" t="s">
        <v>425</v>
      </c>
      <c r="C9" s="152">
        <v>6500</v>
      </c>
      <c r="D9" s="142">
        <v>5303</v>
      </c>
      <c r="E9" s="67">
        <v>6500</v>
      </c>
      <c r="F9" s="81">
        <v>5102</v>
      </c>
      <c r="G9" s="67" t="str">
        <f>VLOOKUP(F9,CFOP[],2,FALSE)</f>
        <v xml:space="preserve">Venda de mercadoria adquirida ou recebida de terceiros </v>
      </c>
      <c r="H9" s="86" t="s">
        <v>426</v>
      </c>
      <c r="I9" s="75">
        <v>45945</v>
      </c>
      <c r="J9" s="66" t="s">
        <v>57</v>
      </c>
      <c r="K9" s="70"/>
      <c r="L9" s="66"/>
      <c r="M9" s="66"/>
    </row>
    <row r="10" spans="1:13" customFormat="1" x14ac:dyDescent="0.3">
      <c r="A10" s="228" t="s">
        <v>15</v>
      </c>
      <c r="B10" s="218" t="s">
        <v>425</v>
      </c>
      <c r="C10" s="152">
        <v>7800</v>
      </c>
      <c r="D10" s="142">
        <v>5304</v>
      </c>
      <c r="E10" s="67">
        <v>7800</v>
      </c>
      <c r="F10" s="81">
        <v>5901</v>
      </c>
      <c r="G10" s="67" t="str">
        <f>VLOOKUP(F10,CFOP[],2,FALSE)</f>
        <v xml:space="preserve">Remessa para industrialização por encomenda </v>
      </c>
      <c r="H10" s="86" t="s">
        <v>427</v>
      </c>
      <c r="I10" s="75">
        <v>45945</v>
      </c>
      <c r="J10" s="66" t="s">
        <v>359</v>
      </c>
      <c r="K10" s="70"/>
      <c r="L10" s="66"/>
      <c r="M10" s="66"/>
    </row>
    <row r="11" spans="1:13" customFormat="1" x14ac:dyDescent="0.3">
      <c r="A11" s="228">
        <v>377</v>
      </c>
      <c r="B11" s="218" t="s">
        <v>428</v>
      </c>
      <c r="C11" s="152">
        <v>1919.5</v>
      </c>
      <c r="D11" s="142">
        <v>5305</v>
      </c>
      <c r="E11" s="67">
        <v>1294.5</v>
      </c>
      <c r="F11" s="81">
        <v>5102</v>
      </c>
      <c r="G11" s="67" t="str">
        <f>VLOOKUP(F11,CFOP[],2,FALSE)</f>
        <v xml:space="preserve">Venda de mercadoria adquirida ou recebida de terceiros </v>
      </c>
      <c r="H11" s="86" t="s">
        <v>429</v>
      </c>
      <c r="I11" s="75">
        <v>45953</v>
      </c>
      <c r="J11" s="66" t="s">
        <v>359</v>
      </c>
      <c r="K11" s="70"/>
      <c r="L11" s="66"/>
      <c r="M11" s="66"/>
    </row>
    <row r="12" spans="1:13" customFormat="1" x14ac:dyDescent="0.3">
      <c r="A12" s="228">
        <v>455</v>
      </c>
      <c r="B12" s="218" t="s">
        <v>430</v>
      </c>
      <c r="C12" s="152">
        <v>908.7</v>
      </c>
      <c r="D12" s="142">
        <v>5306</v>
      </c>
      <c r="E12" s="67">
        <v>908.7</v>
      </c>
      <c r="F12" s="81">
        <v>5102</v>
      </c>
      <c r="G12" s="67" t="str">
        <f>VLOOKUP(F12,CFOP[],2,FALSE)</f>
        <v xml:space="preserve">Venda de mercadoria adquirida ou recebida de terceiros </v>
      </c>
      <c r="H12" s="86" t="s">
        <v>431</v>
      </c>
      <c r="I12" s="75">
        <v>45945</v>
      </c>
      <c r="J12" s="66" t="s">
        <v>359</v>
      </c>
      <c r="K12" s="70"/>
      <c r="L12" s="66"/>
      <c r="M12" s="66"/>
    </row>
    <row r="13" spans="1:13" customFormat="1" x14ac:dyDescent="0.3">
      <c r="A13" s="228">
        <v>425</v>
      </c>
      <c r="B13" s="218" t="s">
        <v>432</v>
      </c>
      <c r="C13" s="152">
        <v>10600.47</v>
      </c>
      <c r="D13" s="142">
        <v>5307</v>
      </c>
      <c r="E13" s="67">
        <v>10600.47</v>
      </c>
      <c r="F13" s="81">
        <v>5102</v>
      </c>
      <c r="G13" s="67" t="str">
        <f>VLOOKUP(F13,CFOP[],2,FALSE)</f>
        <v xml:space="preserve">Venda de mercadoria adquirida ou recebida de terceiros </v>
      </c>
      <c r="H13" s="86" t="s">
        <v>433</v>
      </c>
      <c r="I13" s="75">
        <v>45946</v>
      </c>
      <c r="J13" s="66" t="s">
        <v>359</v>
      </c>
      <c r="K13" s="70"/>
      <c r="L13" s="66"/>
      <c r="M13" s="66"/>
    </row>
    <row r="14" spans="1:13" customFormat="1" x14ac:dyDescent="0.3">
      <c r="A14" s="228">
        <v>410</v>
      </c>
      <c r="B14" s="218" t="s">
        <v>434</v>
      </c>
      <c r="C14" s="152">
        <v>9180</v>
      </c>
      <c r="D14" s="142">
        <v>5308</v>
      </c>
      <c r="E14" s="67">
        <v>4185</v>
      </c>
      <c r="F14" s="81">
        <v>5102</v>
      </c>
      <c r="G14" s="67" t="str">
        <f>VLOOKUP(F14,CFOP[],2,FALSE)</f>
        <v xml:space="preserve">Venda de mercadoria adquirida ou recebida de terceiros </v>
      </c>
      <c r="H14" s="86" t="s">
        <v>435</v>
      </c>
      <c r="I14" s="75">
        <v>45946</v>
      </c>
      <c r="J14" s="66" t="s">
        <v>359</v>
      </c>
      <c r="K14" s="70"/>
      <c r="L14" s="66"/>
      <c r="M14" s="66"/>
    </row>
    <row r="15" spans="1:13" customFormat="1" x14ac:dyDescent="0.3">
      <c r="A15" s="228">
        <v>439</v>
      </c>
      <c r="B15" s="218" t="s">
        <v>436</v>
      </c>
      <c r="C15" s="152">
        <v>1860</v>
      </c>
      <c r="D15" s="142">
        <v>5309</v>
      </c>
      <c r="E15" s="67">
        <v>970</v>
      </c>
      <c r="F15" s="81">
        <v>5102</v>
      </c>
      <c r="G15" s="67" t="str">
        <f>VLOOKUP(F15,CFOP[],2,FALSE)</f>
        <v xml:space="preserve">Venda de mercadoria adquirida ou recebida de terceiros </v>
      </c>
      <c r="H15" s="86" t="s">
        <v>437</v>
      </c>
      <c r="I15" s="75">
        <v>45947</v>
      </c>
      <c r="J15" s="66" t="s">
        <v>359</v>
      </c>
      <c r="K15" s="70"/>
      <c r="L15" s="66"/>
      <c r="M15" s="66"/>
    </row>
    <row r="16" spans="1:13" customFormat="1" x14ac:dyDescent="0.3">
      <c r="A16" s="228">
        <v>456</v>
      </c>
      <c r="B16" s="218" t="s">
        <v>438</v>
      </c>
      <c r="C16" s="152">
        <v>2524.1999999999998</v>
      </c>
      <c r="D16" s="142">
        <v>5310</v>
      </c>
      <c r="E16" s="67">
        <v>2374.1999999999998</v>
      </c>
      <c r="F16" s="81">
        <v>5102</v>
      </c>
      <c r="G16" s="67" t="str">
        <f>VLOOKUP(F16,CFOP[],2,FALSE)</f>
        <v xml:space="preserve">Venda de mercadoria adquirida ou recebida de terceiros </v>
      </c>
      <c r="H16" s="86" t="s">
        <v>439</v>
      </c>
      <c r="I16" s="75">
        <v>45952</v>
      </c>
      <c r="J16" s="66" t="s">
        <v>57</v>
      </c>
      <c r="K16" s="70"/>
      <c r="L16" s="66"/>
      <c r="M16" s="66"/>
    </row>
    <row r="17" spans="1:13" customFormat="1" x14ac:dyDescent="0.3">
      <c r="A17" s="228" t="s">
        <v>15</v>
      </c>
      <c r="B17" s="218" t="s">
        <v>576</v>
      </c>
      <c r="C17" s="152">
        <v>2150</v>
      </c>
      <c r="D17" s="142">
        <v>5311</v>
      </c>
      <c r="E17" s="67">
        <v>2150</v>
      </c>
      <c r="F17" s="81">
        <v>5901</v>
      </c>
      <c r="G17" s="67" t="str">
        <f>VLOOKUP(F17,CFOP[],2,FALSE)</f>
        <v xml:space="preserve">Remessa para industrialização por encomenda </v>
      </c>
      <c r="H17" s="86" t="s">
        <v>440</v>
      </c>
      <c r="I17" s="75">
        <v>45950</v>
      </c>
      <c r="J17" s="66" t="s">
        <v>359</v>
      </c>
      <c r="K17" s="70"/>
      <c r="L17" s="66"/>
      <c r="M17" s="66"/>
    </row>
    <row r="18" spans="1:13" customFormat="1" x14ac:dyDescent="0.3">
      <c r="A18" s="228">
        <v>452</v>
      </c>
      <c r="B18" s="218" t="s">
        <v>441</v>
      </c>
      <c r="C18" s="152">
        <v>1186.5</v>
      </c>
      <c r="D18" s="142">
        <v>5312</v>
      </c>
      <c r="E18" s="67">
        <v>1186.5</v>
      </c>
      <c r="F18" s="81">
        <v>5102</v>
      </c>
      <c r="G18" s="67" t="str">
        <f>VLOOKUP(F18,CFOP[],2,FALSE)</f>
        <v xml:space="preserve">Venda de mercadoria adquirida ou recebida de terceiros </v>
      </c>
      <c r="H18" s="86" t="s">
        <v>442</v>
      </c>
      <c r="I18" s="75">
        <v>45950</v>
      </c>
      <c r="J18" s="66" t="s">
        <v>359</v>
      </c>
      <c r="K18" s="70"/>
      <c r="L18" s="66"/>
      <c r="M18" s="66"/>
    </row>
    <row r="19" spans="1:13" customFormat="1" x14ac:dyDescent="0.3">
      <c r="A19" s="228">
        <v>457</v>
      </c>
      <c r="B19" s="218" t="s">
        <v>421</v>
      </c>
      <c r="C19" s="152">
        <v>1030.8</v>
      </c>
      <c r="D19" s="142">
        <v>5313</v>
      </c>
      <c r="E19" s="67">
        <v>1030.8</v>
      </c>
      <c r="F19" s="81">
        <v>5102</v>
      </c>
      <c r="G19" s="67" t="str">
        <f>VLOOKUP(F19,CFOP[],2,FALSE)</f>
        <v xml:space="preserve">Venda de mercadoria adquirida ou recebida de terceiros </v>
      </c>
      <c r="H19" s="86" t="s">
        <v>443</v>
      </c>
      <c r="I19" s="75">
        <v>45951</v>
      </c>
      <c r="J19" s="66" t="s">
        <v>359</v>
      </c>
      <c r="K19" s="70"/>
      <c r="L19" s="66"/>
      <c r="M19" s="66"/>
    </row>
    <row r="20" spans="1:13" customFormat="1" x14ac:dyDescent="0.3">
      <c r="A20" s="228">
        <v>1157</v>
      </c>
      <c r="B20" s="218" t="s">
        <v>444</v>
      </c>
      <c r="C20" s="152">
        <v>1613</v>
      </c>
      <c r="D20" s="142">
        <v>5314</v>
      </c>
      <c r="E20" s="67">
        <v>723</v>
      </c>
      <c r="F20" s="81">
        <v>5102</v>
      </c>
      <c r="G20" s="67" t="str">
        <f>VLOOKUP(F20,CFOP[],2,FALSE)</f>
        <v xml:space="preserve">Venda de mercadoria adquirida ou recebida de terceiros </v>
      </c>
      <c r="H20" s="86" t="s">
        <v>445</v>
      </c>
      <c r="I20" s="75">
        <v>45951</v>
      </c>
      <c r="J20" s="66" t="s">
        <v>359</v>
      </c>
      <c r="K20" s="70"/>
      <c r="L20" s="66"/>
      <c r="M20" s="66"/>
    </row>
    <row r="21" spans="1:13" customFormat="1" x14ac:dyDescent="0.3">
      <c r="A21" s="228">
        <v>422</v>
      </c>
      <c r="B21" s="218" t="s">
        <v>716</v>
      </c>
      <c r="C21" s="152">
        <v>2098.65</v>
      </c>
      <c r="D21" s="142">
        <v>5315</v>
      </c>
      <c r="E21" s="67">
        <v>2098.65</v>
      </c>
      <c r="F21" s="81">
        <v>5102</v>
      </c>
      <c r="G21" s="67" t="str">
        <f>VLOOKUP(F21,CFOP[],2,FALSE)</f>
        <v xml:space="preserve">Venda de mercadoria adquirida ou recebida de terceiros </v>
      </c>
      <c r="H21" s="86" t="s">
        <v>446</v>
      </c>
      <c r="I21" s="75">
        <v>45951</v>
      </c>
      <c r="J21" s="66" t="s">
        <v>359</v>
      </c>
      <c r="K21" s="70"/>
      <c r="L21" s="66"/>
      <c r="M21" s="66"/>
    </row>
    <row r="22" spans="1:13" customFormat="1" x14ac:dyDescent="0.3">
      <c r="A22" s="228">
        <v>1160</v>
      </c>
      <c r="B22" s="218" t="s">
        <v>447</v>
      </c>
      <c r="C22" s="152">
        <v>894.9</v>
      </c>
      <c r="D22" s="142">
        <v>5316</v>
      </c>
      <c r="E22" s="67">
        <v>894.9</v>
      </c>
      <c r="F22" s="81">
        <v>5102</v>
      </c>
      <c r="G22" s="67" t="str">
        <f>VLOOKUP(F22,CFOP[],2,FALSE)</f>
        <v xml:space="preserve">Venda de mercadoria adquirida ou recebida de terceiros </v>
      </c>
      <c r="H22" s="86" t="s">
        <v>448</v>
      </c>
      <c r="I22" s="75">
        <v>45951</v>
      </c>
      <c r="J22" s="66" t="s">
        <v>359</v>
      </c>
      <c r="K22" s="70"/>
      <c r="L22" s="66"/>
      <c r="M22" s="66"/>
    </row>
    <row r="23" spans="1:13" customFormat="1" x14ac:dyDescent="0.3">
      <c r="A23" s="228">
        <v>1117</v>
      </c>
      <c r="B23" s="218" t="s">
        <v>449</v>
      </c>
      <c r="C23" s="152">
        <v>8614.9</v>
      </c>
      <c r="D23" s="142">
        <v>5317</v>
      </c>
      <c r="E23" s="67">
        <v>7454.9</v>
      </c>
      <c r="F23" s="81">
        <v>5102</v>
      </c>
      <c r="G23" s="67" t="str">
        <f>VLOOKUP(F23,CFOP[],2,FALSE)</f>
        <v xml:space="preserve">Venda de mercadoria adquirida ou recebida de terceiros </v>
      </c>
      <c r="H23" s="86" t="s">
        <v>450</v>
      </c>
      <c r="I23" s="75">
        <v>45951</v>
      </c>
      <c r="J23" s="66" t="s">
        <v>359</v>
      </c>
      <c r="K23" s="70"/>
      <c r="L23" s="66"/>
      <c r="M23" s="66"/>
    </row>
    <row r="24" spans="1:13" customFormat="1" x14ac:dyDescent="0.3">
      <c r="A24" s="228">
        <v>440</v>
      </c>
      <c r="B24" s="218" t="s">
        <v>451</v>
      </c>
      <c r="C24" s="152">
        <v>945</v>
      </c>
      <c r="D24" s="142">
        <v>5318</v>
      </c>
      <c r="E24" s="67">
        <v>945</v>
      </c>
      <c r="F24" s="81">
        <v>5102</v>
      </c>
      <c r="G24" s="67" t="str">
        <f>VLOOKUP(F24,CFOP[],2,FALSE)</f>
        <v xml:space="preserve">Venda de mercadoria adquirida ou recebida de terceiros </v>
      </c>
      <c r="H24" s="86" t="s">
        <v>452</v>
      </c>
      <c r="I24" s="75">
        <v>45952</v>
      </c>
      <c r="J24" s="66" t="s">
        <v>359</v>
      </c>
      <c r="K24" s="70"/>
      <c r="L24" s="66"/>
      <c r="M24" s="66"/>
    </row>
    <row r="25" spans="1:13" customFormat="1" x14ac:dyDescent="0.3">
      <c r="A25" s="228">
        <v>407</v>
      </c>
      <c r="B25" s="218" t="s">
        <v>451</v>
      </c>
      <c r="C25" s="152">
        <v>2980.8</v>
      </c>
      <c r="D25" s="142">
        <v>5319</v>
      </c>
      <c r="E25" s="67">
        <v>2980.8</v>
      </c>
      <c r="F25" s="81">
        <v>5102</v>
      </c>
      <c r="G25" s="67" t="str">
        <f>VLOOKUP(F25,CFOP[],2,FALSE)</f>
        <v xml:space="preserve">Venda de mercadoria adquirida ou recebida de terceiros </v>
      </c>
      <c r="H25" s="86" t="s">
        <v>453</v>
      </c>
      <c r="I25" s="75">
        <v>45952</v>
      </c>
      <c r="J25" s="66" t="s">
        <v>359</v>
      </c>
      <c r="K25" s="70"/>
      <c r="L25" s="66"/>
      <c r="M25" s="66"/>
    </row>
    <row r="26" spans="1:13" customFormat="1" x14ac:dyDescent="0.3">
      <c r="A26" s="228">
        <v>441</v>
      </c>
      <c r="B26" s="218" t="s">
        <v>454</v>
      </c>
      <c r="C26" s="152">
        <v>760</v>
      </c>
      <c r="D26" s="142">
        <v>5320</v>
      </c>
      <c r="E26" s="67">
        <v>510</v>
      </c>
      <c r="F26" s="81">
        <v>6102</v>
      </c>
      <c r="G26" s="67" t="str">
        <f>VLOOKUP(F26,CFOP[],2,FALSE)</f>
        <v xml:space="preserve">Venda de mercadoria adquirida ou recebida de terceiros </v>
      </c>
      <c r="H26" s="86" t="s">
        <v>455</v>
      </c>
      <c r="I26" s="75">
        <v>45952</v>
      </c>
      <c r="J26" s="66" t="s">
        <v>359</v>
      </c>
      <c r="K26" s="70"/>
      <c r="L26" s="66"/>
      <c r="M26" s="66"/>
    </row>
    <row r="27" spans="1:13" customFormat="1" x14ac:dyDescent="0.3">
      <c r="A27" s="228">
        <v>378</v>
      </c>
      <c r="B27" s="218" t="s">
        <v>428</v>
      </c>
      <c r="C27" s="152">
        <v>8486</v>
      </c>
      <c r="D27" s="142">
        <v>5321</v>
      </c>
      <c r="E27" s="67">
        <v>4036</v>
      </c>
      <c r="F27" s="81">
        <v>5102</v>
      </c>
      <c r="G27" s="67" t="str">
        <f>VLOOKUP(F27,CFOP[],2,FALSE)</f>
        <v xml:space="preserve">Venda de mercadoria adquirida ou recebida de terceiros </v>
      </c>
      <c r="H27" s="86" t="s">
        <v>456</v>
      </c>
      <c r="I27" s="75">
        <v>45953</v>
      </c>
      <c r="J27" s="66" t="s">
        <v>359</v>
      </c>
      <c r="K27" s="70"/>
      <c r="L27" s="66"/>
      <c r="M27" s="66"/>
    </row>
    <row r="28" spans="1:13" customFormat="1" x14ac:dyDescent="0.3">
      <c r="A28" s="228" t="s">
        <v>15</v>
      </c>
      <c r="B28" s="218" t="s">
        <v>425</v>
      </c>
      <c r="C28" s="152">
        <v>1540</v>
      </c>
      <c r="D28" s="142">
        <v>5322</v>
      </c>
      <c r="E28" s="67">
        <v>1540</v>
      </c>
      <c r="F28" s="81">
        <v>5901</v>
      </c>
      <c r="G28" s="67" t="str">
        <f>VLOOKUP(F28,CFOP[],2,FALSE)</f>
        <v xml:space="preserve">Remessa para industrialização por encomenda </v>
      </c>
      <c r="H28" s="86" t="s">
        <v>457</v>
      </c>
      <c r="I28" s="75">
        <v>45953</v>
      </c>
      <c r="J28" s="66" t="s">
        <v>57</v>
      </c>
      <c r="K28" s="70"/>
      <c r="L28" s="66"/>
      <c r="M28" s="66"/>
    </row>
    <row r="29" spans="1:13" customFormat="1" x14ac:dyDescent="0.3">
      <c r="A29" s="228">
        <v>456</v>
      </c>
      <c r="B29" s="218" t="s">
        <v>438</v>
      </c>
      <c r="C29" s="152">
        <v>2524.1999999999998</v>
      </c>
      <c r="D29" s="142">
        <v>5323</v>
      </c>
      <c r="E29" s="67">
        <v>2524.1999999999998</v>
      </c>
      <c r="F29" s="81">
        <v>5102</v>
      </c>
      <c r="G29" s="67" t="str">
        <f>VLOOKUP(F29,CFOP[],2,FALSE)</f>
        <v xml:space="preserve">Venda de mercadoria adquirida ou recebida de terceiros </v>
      </c>
      <c r="H29" s="86" t="s">
        <v>458</v>
      </c>
      <c r="I29" s="75">
        <v>45953</v>
      </c>
      <c r="J29" s="66" t="s">
        <v>359</v>
      </c>
      <c r="K29" s="70"/>
      <c r="L29" s="66"/>
      <c r="M29" s="66"/>
    </row>
    <row r="30" spans="1:13" customFormat="1" x14ac:dyDescent="0.3">
      <c r="A30" s="228" t="s">
        <v>15</v>
      </c>
      <c r="B30" s="218" t="s">
        <v>459</v>
      </c>
      <c r="C30" s="152">
        <v>1540</v>
      </c>
      <c r="D30" s="142">
        <v>5324</v>
      </c>
      <c r="E30" s="67">
        <v>1540</v>
      </c>
      <c r="F30" s="81">
        <v>5901</v>
      </c>
      <c r="G30" s="67" t="str">
        <f>VLOOKUP(F30,CFOP[],2,FALSE)</f>
        <v xml:space="preserve">Remessa para industrialização por encomenda </v>
      </c>
      <c r="H30" s="86" t="s">
        <v>460</v>
      </c>
      <c r="I30" s="75">
        <v>45953</v>
      </c>
      <c r="J30" s="66" t="s">
        <v>359</v>
      </c>
      <c r="K30" s="70"/>
      <c r="L30" s="66"/>
      <c r="M30" s="66"/>
    </row>
    <row r="31" spans="1:13" customFormat="1" x14ac:dyDescent="0.3">
      <c r="A31" s="228">
        <v>451</v>
      </c>
      <c r="B31" s="218" t="s">
        <v>428</v>
      </c>
      <c r="C31" s="152">
        <v>4785.2</v>
      </c>
      <c r="D31" s="142">
        <v>5325</v>
      </c>
      <c r="E31" s="67">
        <v>4785.2</v>
      </c>
      <c r="F31" s="81">
        <v>5102</v>
      </c>
      <c r="G31" s="67" t="str">
        <f>VLOOKUP(F31,CFOP[],2,FALSE)</f>
        <v xml:space="preserve">Venda de mercadoria adquirida ou recebida de terceiros </v>
      </c>
      <c r="H31" s="86" t="s">
        <v>461</v>
      </c>
      <c r="I31" s="75">
        <v>45954</v>
      </c>
      <c r="J31" s="66" t="s">
        <v>57</v>
      </c>
      <c r="K31" s="70"/>
      <c r="L31" s="66"/>
      <c r="M31" s="66"/>
    </row>
    <row r="32" spans="1:13" customFormat="1" x14ac:dyDescent="0.3">
      <c r="A32" s="228">
        <v>451</v>
      </c>
      <c r="B32" s="218" t="s">
        <v>428</v>
      </c>
      <c r="C32" s="152">
        <v>4785.2</v>
      </c>
      <c r="D32" s="142">
        <v>5326</v>
      </c>
      <c r="E32" s="67">
        <v>4785.2</v>
      </c>
      <c r="F32" s="81">
        <v>5102</v>
      </c>
      <c r="G32" s="67" t="str">
        <f>VLOOKUP(F32,CFOP[],2,FALSE)</f>
        <v xml:space="preserve">Venda de mercadoria adquirida ou recebida de terceiros </v>
      </c>
      <c r="H32" s="86" t="s">
        <v>462</v>
      </c>
      <c r="I32" s="75">
        <v>45954</v>
      </c>
      <c r="J32" s="66" t="s">
        <v>359</v>
      </c>
      <c r="K32" s="70"/>
      <c r="L32" s="66"/>
      <c r="M32" s="66"/>
    </row>
    <row r="33" spans="1:15" x14ac:dyDescent="0.3">
      <c r="A33" s="228">
        <v>447</v>
      </c>
      <c r="B33" s="218" t="s">
        <v>463</v>
      </c>
      <c r="C33" s="152">
        <v>790</v>
      </c>
      <c r="D33" s="142">
        <v>5327</v>
      </c>
      <c r="E33" s="67">
        <v>790</v>
      </c>
      <c r="F33" s="81">
        <v>5101</v>
      </c>
      <c r="G33" s="67" t="str">
        <f>VLOOKUP(F33,CFOP[],2,FALSE)</f>
        <v xml:space="preserve">Venda de produção do estabelecimento </v>
      </c>
      <c r="H33" s="86" t="s">
        <v>464</v>
      </c>
      <c r="I33" s="75">
        <v>45958</v>
      </c>
      <c r="J33" s="66" t="s">
        <v>57</v>
      </c>
      <c r="K33" s="70"/>
      <c r="L33" s="66"/>
      <c r="M33" s="66"/>
      <c r="N33"/>
      <c r="O33"/>
    </row>
    <row r="34" spans="1:15" x14ac:dyDescent="0.3">
      <c r="A34" s="228">
        <v>365</v>
      </c>
      <c r="B34" s="218" t="s">
        <v>465</v>
      </c>
      <c r="C34" s="152">
        <v>32346.3</v>
      </c>
      <c r="D34" s="142">
        <v>5328</v>
      </c>
      <c r="E34" s="67">
        <v>27131.3</v>
      </c>
      <c r="F34" s="81">
        <v>5102</v>
      </c>
      <c r="G34" s="67" t="str">
        <f>VLOOKUP(F34,CFOP[],2,FALSE)</f>
        <v xml:space="preserve">Venda de mercadoria adquirida ou recebida de terceiros </v>
      </c>
      <c r="H34" s="86" t="s">
        <v>466</v>
      </c>
      <c r="I34" s="75">
        <v>45960</v>
      </c>
      <c r="J34" s="66" t="s">
        <v>359</v>
      </c>
      <c r="K34" s="70"/>
      <c r="L34" s="66"/>
      <c r="M34" s="66"/>
      <c r="N34"/>
      <c r="O34"/>
    </row>
    <row r="35" spans="1:15" x14ac:dyDescent="0.3">
      <c r="A35" s="228">
        <v>427</v>
      </c>
      <c r="B35" s="218" t="s">
        <v>467</v>
      </c>
      <c r="C35" s="152">
        <v>5629</v>
      </c>
      <c r="D35" s="142">
        <v>5329</v>
      </c>
      <c r="E35" s="67">
        <v>3379</v>
      </c>
      <c r="F35" s="81">
        <v>5102</v>
      </c>
      <c r="G35" s="67" t="str">
        <f>VLOOKUP(F35,CFOP[],2,FALSE)</f>
        <v xml:space="preserve">Venda de mercadoria adquirida ou recebida de terceiros </v>
      </c>
      <c r="H35" s="86" t="s">
        <v>468</v>
      </c>
      <c r="I35" s="75">
        <v>45960</v>
      </c>
      <c r="J35" s="66" t="s">
        <v>359</v>
      </c>
      <c r="K35" s="70"/>
      <c r="L35" s="66"/>
      <c r="M35" s="66"/>
      <c r="N35"/>
      <c r="O35"/>
    </row>
    <row r="36" spans="1:15" x14ac:dyDescent="0.3">
      <c r="A36" s="228">
        <v>431</v>
      </c>
      <c r="B36" s="218" t="s">
        <v>467</v>
      </c>
      <c r="C36" s="152">
        <v>3842.6</v>
      </c>
      <c r="D36" s="142">
        <v>5330</v>
      </c>
      <c r="E36" s="67">
        <v>1722.6</v>
      </c>
      <c r="F36" s="81">
        <v>5102</v>
      </c>
      <c r="G36" s="67" t="str">
        <f>VLOOKUP(F36,CFOP[],2,FALSE)</f>
        <v xml:space="preserve">Venda de mercadoria adquirida ou recebida de terceiros </v>
      </c>
      <c r="H36" s="86" t="s">
        <v>469</v>
      </c>
      <c r="I36" s="75">
        <v>45960</v>
      </c>
      <c r="J36" s="66" t="s">
        <v>359</v>
      </c>
      <c r="K36" s="70"/>
      <c r="L36" s="66"/>
      <c r="M36" s="66"/>
      <c r="N36"/>
      <c r="O36"/>
    </row>
    <row r="37" spans="1:15" x14ac:dyDescent="0.3">
      <c r="A37" s="228">
        <v>1201</v>
      </c>
      <c r="B37" s="218" t="s">
        <v>470</v>
      </c>
      <c r="C37" s="152">
        <v>1342.45</v>
      </c>
      <c r="D37" s="142">
        <v>5331</v>
      </c>
      <c r="E37" s="67">
        <v>1342.45</v>
      </c>
      <c r="F37" s="81">
        <v>5102</v>
      </c>
      <c r="G37" s="67" t="str">
        <f>VLOOKUP(F37,CFOP[],2,FALSE)</f>
        <v xml:space="preserve">Venda de mercadoria adquirida ou recebida de terceiros </v>
      </c>
      <c r="H37" s="86" t="s">
        <v>471</v>
      </c>
      <c r="I37" s="75">
        <v>45960</v>
      </c>
      <c r="J37" s="66" t="s">
        <v>359</v>
      </c>
      <c r="K37" s="70"/>
      <c r="L37" s="66"/>
      <c r="M37" s="66"/>
      <c r="N37"/>
      <c r="O37"/>
    </row>
    <row r="38" spans="1:15" x14ac:dyDescent="0.3">
      <c r="A38" s="228">
        <v>447</v>
      </c>
      <c r="B38" s="218" t="s">
        <v>463</v>
      </c>
      <c r="C38" s="152">
        <v>790</v>
      </c>
      <c r="D38" s="142">
        <v>5332</v>
      </c>
      <c r="E38" s="67">
        <v>790</v>
      </c>
      <c r="F38" s="81">
        <v>5102</v>
      </c>
      <c r="G38" s="67" t="str">
        <f>VLOOKUP(F38,CFOP[],2,FALSE)</f>
        <v xml:space="preserve">Venda de mercadoria adquirida ou recebida de terceiros </v>
      </c>
      <c r="H38" s="86" t="s">
        <v>472</v>
      </c>
      <c r="I38" s="75">
        <v>45961</v>
      </c>
      <c r="J38" s="66" t="s">
        <v>359</v>
      </c>
      <c r="K38" s="70"/>
      <c r="L38" s="66"/>
      <c r="M38" s="66"/>
      <c r="N38"/>
      <c r="O38"/>
    </row>
    <row r="39" spans="1:15" x14ac:dyDescent="0.3">
      <c r="A39" s="228">
        <v>1189</v>
      </c>
      <c r="B39" s="218" t="s">
        <v>473</v>
      </c>
      <c r="C39" s="152">
        <v>2711.6</v>
      </c>
      <c r="D39" s="142">
        <v>5333</v>
      </c>
      <c r="E39" s="67">
        <v>1731.6</v>
      </c>
      <c r="F39" s="81">
        <v>5102</v>
      </c>
      <c r="G39" s="67" t="str">
        <f>VLOOKUP(F39,CFOP[],2,FALSE)</f>
        <v xml:space="preserve">Venda de mercadoria adquirida ou recebida de terceiros </v>
      </c>
      <c r="H39" s="86" t="s">
        <v>474</v>
      </c>
      <c r="I39" s="75">
        <v>45961</v>
      </c>
      <c r="J39" s="66" t="s">
        <v>359</v>
      </c>
      <c r="K39" s="70"/>
      <c r="L39" s="66"/>
      <c r="M39" s="66"/>
      <c r="N39"/>
      <c r="O39"/>
    </row>
    <row r="40" spans="1:15" x14ac:dyDescent="0.3">
      <c r="A40" s="228">
        <v>460</v>
      </c>
      <c r="B40" s="218" t="s">
        <v>475</v>
      </c>
      <c r="C40" s="152">
        <v>4806</v>
      </c>
      <c r="D40" s="142">
        <v>5334</v>
      </c>
      <c r="E40" s="67">
        <v>4806</v>
      </c>
      <c r="F40" s="81">
        <v>6102</v>
      </c>
      <c r="G40" s="67" t="str">
        <f>VLOOKUP(F40,CFOP[],2,FALSE)</f>
        <v xml:space="preserve">Venda de mercadoria adquirida ou recebida de terceiros </v>
      </c>
      <c r="H40" s="86" t="s">
        <v>476</v>
      </c>
      <c r="I40" s="75">
        <v>45964</v>
      </c>
      <c r="J40" s="66" t="s">
        <v>359</v>
      </c>
      <c r="K40" s="70"/>
      <c r="L40" s="66"/>
      <c r="M40" s="66"/>
      <c r="N40"/>
      <c r="O40"/>
    </row>
    <row r="41" spans="1:15" x14ac:dyDescent="0.3">
      <c r="A41" s="228">
        <v>1192</v>
      </c>
      <c r="B41" s="218" t="s">
        <v>477</v>
      </c>
      <c r="C41" s="152">
        <v>3907.1</v>
      </c>
      <c r="D41" s="142">
        <v>5335</v>
      </c>
      <c r="E41" s="67">
        <v>3907.1</v>
      </c>
      <c r="F41" s="81">
        <v>5102</v>
      </c>
      <c r="G41" s="67" t="str">
        <f>VLOOKUP(F41,CFOP[],2,FALSE)</f>
        <v xml:space="preserve">Venda de mercadoria adquirida ou recebida de terceiros </v>
      </c>
      <c r="H41" s="86" t="s">
        <v>478</v>
      </c>
      <c r="I41" s="75">
        <v>45965</v>
      </c>
      <c r="J41" s="66" t="s">
        <v>57</v>
      </c>
      <c r="K41" s="70"/>
      <c r="L41" s="66"/>
      <c r="M41" s="66"/>
      <c r="N41"/>
      <c r="O41"/>
    </row>
    <row r="42" spans="1:15" x14ac:dyDescent="0.3">
      <c r="A42" s="228" t="s">
        <v>15</v>
      </c>
      <c r="B42" s="218" t="s">
        <v>576</v>
      </c>
      <c r="C42" s="152">
        <v>6000</v>
      </c>
      <c r="D42" s="142">
        <v>5336</v>
      </c>
      <c r="E42" s="67">
        <v>6000</v>
      </c>
      <c r="F42" s="81">
        <v>5901</v>
      </c>
      <c r="G42" s="67" t="str">
        <f>VLOOKUP(F42,CFOP[],2,FALSE)</f>
        <v xml:space="preserve">Remessa para industrialização por encomenda </v>
      </c>
      <c r="H42" s="86" t="s">
        <v>479</v>
      </c>
      <c r="I42" s="75">
        <v>45965</v>
      </c>
      <c r="J42" s="66" t="s">
        <v>359</v>
      </c>
      <c r="K42" s="70"/>
      <c r="L42" s="66"/>
      <c r="M42" s="66"/>
      <c r="N42"/>
      <c r="O42"/>
    </row>
    <row r="43" spans="1:15" x14ac:dyDescent="0.3">
      <c r="A43" s="228" t="s">
        <v>15</v>
      </c>
      <c r="B43" s="218" t="s">
        <v>576</v>
      </c>
      <c r="C43" s="152">
        <v>2600</v>
      </c>
      <c r="D43" s="142">
        <v>5337</v>
      </c>
      <c r="E43" s="67">
        <v>2600</v>
      </c>
      <c r="F43" s="81">
        <v>5901</v>
      </c>
      <c r="G43" s="67" t="str">
        <f>VLOOKUP(F43,CFOP[],2,FALSE)</f>
        <v xml:space="preserve">Remessa para industrialização por encomenda </v>
      </c>
      <c r="H43" s="86" t="s">
        <v>480</v>
      </c>
      <c r="I43" s="75">
        <v>45965</v>
      </c>
      <c r="J43" s="66" t="s">
        <v>359</v>
      </c>
      <c r="K43" s="70"/>
      <c r="L43" s="66"/>
      <c r="M43" s="66"/>
      <c r="N43"/>
      <c r="O43"/>
    </row>
    <row r="44" spans="1:15" x14ac:dyDescent="0.3">
      <c r="A44" s="228" t="s">
        <v>15</v>
      </c>
      <c r="B44" s="218" t="s">
        <v>576</v>
      </c>
      <c r="C44" s="152">
        <v>2600</v>
      </c>
      <c r="D44" s="142">
        <v>5338</v>
      </c>
      <c r="E44" s="67">
        <v>2600</v>
      </c>
      <c r="F44" s="81">
        <v>5901</v>
      </c>
      <c r="G44" s="67" t="str">
        <f>VLOOKUP(F44,CFOP[],2,FALSE)</f>
        <v xml:space="preserve">Remessa para industrialização por encomenda </v>
      </c>
      <c r="H44" s="86" t="s">
        <v>481</v>
      </c>
      <c r="I44" s="75">
        <v>45965</v>
      </c>
      <c r="J44" s="66" t="s">
        <v>359</v>
      </c>
      <c r="K44" s="70"/>
      <c r="L44" s="66"/>
      <c r="M44" s="66"/>
      <c r="N44"/>
      <c r="O44"/>
    </row>
    <row r="45" spans="1:15" x14ac:dyDescent="0.3">
      <c r="A45" s="228" t="s">
        <v>15</v>
      </c>
      <c r="B45" s="218" t="s">
        <v>482</v>
      </c>
      <c r="C45" s="152">
        <v>7580</v>
      </c>
      <c r="D45" s="142">
        <v>5339</v>
      </c>
      <c r="E45" s="67">
        <v>7580</v>
      </c>
      <c r="F45" s="81">
        <v>5901</v>
      </c>
      <c r="G45" s="67" t="str">
        <f>VLOOKUP(F45,CFOP[],2,FALSE)</f>
        <v xml:space="preserve">Remessa para industrialização por encomenda </v>
      </c>
      <c r="H45" s="86" t="s">
        <v>483</v>
      </c>
      <c r="I45" s="75">
        <v>45965</v>
      </c>
      <c r="J45" s="66" t="s">
        <v>359</v>
      </c>
      <c r="K45" s="70"/>
      <c r="L45" s="66"/>
      <c r="M45" s="66"/>
      <c r="N45"/>
      <c r="O45"/>
    </row>
    <row r="46" spans="1:15" x14ac:dyDescent="0.3">
      <c r="A46" s="228" t="s">
        <v>15</v>
      </c>
      <c r="B46" s="218" t="s">
        <v>576</v>
      </c>
      <c r="C46" s="152">
        <v>2600</v>
      </c>
      <c r="D46" s="142">
        <v>5340</v>
      </c>
      <c r="E46" s="67">
        <v>2600</v>
      </c>
      <c r="F46" s="81">
        <v>5901</v>
      </c>
      <c r="G46" s="67" t="str">
        <f>VLOOKUP(F46,CFOP[],2,FALSE)</f>
        <v xml:space="preserve">Remessa para industrialização por encomenda </v>
      </c>
      <c r="H46" s="86" t="s">
        <v>484</v>
      </c>
      <c r="I46" s="75">
        <v>45965</v>
      </c>
      <c r="J46" s="66" t="s">
        <v>359</v>
      </c>
      <c r="K46" s="70"/>
      <c r="L46" s="66"/>
      <c r="M46" s="66"/>
      <c r="N46"/>
      <c r="O46"/>
    </row>
    <row r="47" spans="1:15" x14ac:dyDescent="0.3">
      <c r="A47" s="228" t="s">
        <v>15</v>
      </c>
      <c r="B47" s="218" t="s">
        <v>576</v>
      </c>
      <c r="C47" s="152">
        <v>3400</v>
      </c>
      <c r="D47" s="142">
        <v>5341</v>
      </c>
      <c r="E47" s="67">
        <v>3400</v>
      </c>
      <c r="F47" s="81">
        <v>5901</v>
      </c>
      <c r="G47" s="67" t="str">
        <f>VLOOKUP(F47,CFOP[],2,FALSE)</f>
        <v xml:space="preserve">Remessa para industrialização por encomenda </v>
      </c>
      <c r="H47" s="86" t="s">
        <v>485</v>
      </c>
      <c r="I47" s="75">
        <v>45965</v>
      </c>
      <c r="J47" s="66" t="s">
        <v>359</v>
      </c>
      <c r="K47" s="70"/>
      <c r="L47" s="66"/>
      <c r="M47" s="66"/>
      <c r="N47"/>
      <c r="O47"/>
    </row>
    <row r="48" spans="1:15" x14ac:dyDescent="0.3">
      <c r="A48" s="228">
        <v>1192</v>
      </c>
      <c r="B48" s="218" t="s">
        <v>477</v>
      </c>
      <c r="C48" s="152">
        <v>3907.1</v>
      </c>
      <c r="D48" s="142">
        <v>5342</v>
      </c>
      <c r="E48" s="67">
        <v>1566.5</v>
      </c>
      <c r="F48" s="81">
        <v>5102</v>
      </c>
      <c r="G48" s="67" t="str">
        <f>VLOOKUP(F48,CFOP[],2,FALSE)</f>
        <v xml:space="preserve">Venda de mercadoria adquirida ou recebida de terceiros </v>
      </c>
      <c r="H48" s="86" t="s">
        <v>486</v>
      </c>
      <c r="I48" s="75">
        <v>45993</v>
      </c>
      <c r="J48" s="66" t="s">
        <v>359</v>
      </c>
      <c r="K48" s="70"/>
      <c r="L48" s="66"/>
      <c r="M48" s="66"/>
      <c r="N48"/>
      <c r="O48"/>
    </row>
    <row r="49" spans="1:15" x14ac:dyDescent="0.3">
      <c r="A49" s="228">
        <v>1192</v>
      </c>
      <c r="B49" s="218" t="s">
        <v>477</v>
      </c>
      <c r="C49" s="152">
        <v>3907.1</v>
      </c>
      <c r="D49" s="142">
        <v>5343</v>
      </c>
      <c r="E49" s="67">
        <v>2340.6</v>
      </c>
      <c r="F49" s="81">
        <v>5102</v>
      </c>
      <c r="G49" s="67" t="str">
        <f>VLOOKUP(F49,CFOP[],2,FALSE)</f>
        <v xml:space="preserve">Venda de mercadoria adquirida ou recebida de terceiros </v>
      </c>
      <c r="H49" s="86" t="s">
        <v>487</v>
      </c>
      <c r="I49" s="75">
        <v>45966</v>
      </c>
      <c r="J49" s="66" t="s">
        <v>359</v>
      </c>
      <c r="K49" s="70"/>
      <c r="L49" s="66"/>
      <c r="M49" s="66"/>
      <c r="N49"/>
      <c r="O49"/>
    </row>
    <row r="50" spans="1:15" x14ac:dyDescent="0.3">
      <c r="A50" s="228">
        <v>442</v>
      </c>
      <c r="B50" s="218" t="s">
        <v>432</v>
      </c>
      <c r="C50" s="152">
        <v>428.2</v>
      </c>
      <c r="D50" s="142">
        <v>5344</v>
      </c>
      <c r="E50" s="67">
        <v>428.2</v>
      </c>
      <c r="F50" s="81">
        <v>5102</v>
      </c>
      <c r="G50" s="67" t="str">
        <f>VLOOKUP(F50,CFOP[],2,FALSE)</f>
        <v xml:space="preserve">Venda de mercadoria adquirida ou recebida de terceiros </v>
      </c>
      <c r="H50" s="86" t="s">
        <v>488</v>
      </c>
      <c r="I50" s="75">
        <v>45967</v>
      </c>
      <c r="J50" s="66" t="s">
        <v>359</v>
      </c>
      <c r="K50" s="70"/>
      <c r="L50" s="66"/>
      <c r="M50" s="66"/>
      <c r="N50"/>
      <c r="O50"/>
    </row>
    <row r="51" spans="1:15" x14ac:dyDescent="0.3">
      <c r="A51" s="228">
        <v>238</v>
      </c>
      <c r="B51" s="218" t="s">
        <v>489</v>
      </c>
      <c r="C51" s="152">
        <v>7465</v>
      </c>
      <c r="D51" s="142">
        <v>5345</v>
      </c>
      <c r="E51" s="67">
        <v>7465</v>
      </c>
      <c r="F51" s="81">
        <v>5101</v>
      </c>
      <c r="G51" s="67" t="str">
        <f>VLOOKUP(F51,CFOP[],2,FALSE)</f>
        <v xml:space="preserve">Venda de produção do estabelecimento </v>
      </c>
      <c r="H51" s="86" t="s">
        <v>490</v>
      </c>
      <c r="I51" s="75">
        <v>45968</v>
      </c>
      <c r="J51" s="66" t="s">
        <v>359</v>
      </c>
      <c r="K51" s="70"/>
      <c r="L51" s="66"/>
      <c r="M51" s="66"/>
      <c r="N51"/>
      <c r="O51"/>
    </row>
    <row r="52" spans="1:15" x14ac:dyDescent="0.3">
      <c r="A52" s="228">
        <v>1123</v>
      </c>
      <c r="B52" s="218" t="s">
        <v>432</v>
      </c>
      <c r="C52" s="152">
        <v>29734.3</v>
      </c>
      <c r="D52" s="142">
        <v>5346</v>
      </c>
      <c r="E52" s="67">
        <v>23314.3</v>
      </c>
      <c r="F52" s="81">
        <v>5102</v>
      </c>
      <c r="G52" s="67" t="str">
        <f>VLOOKUP(F52,CFOP[],2,FALSE)</f>
        <v xml:space="preserve">Venda de mercadoria adquirida ou recebida de terceiros </v>
      </c>
      <c r="H52" s="86" t="s">
        <v>491</v>
      </c>
      <c r="I52" s="75">
        <v>45971</v>
      </c>
      <c r="J52" s="66" t="s">
        <v>359</v>
      </c>
      <c r="K52" s="70"/>
      <c r="L52" s="66"/>
      <c r="M52" s="66"/>
      <c r="N52"/>
      <c r="O52"/>
    </row>
    <row r="53" spans="1:15" x14ac:dyDescent="0.3">
      <c r="A53" s="228">
        <v>401</v>
      </c>
      <c r="B53" s="218" t="s">
        <v>432</v>
      </c>
      <c r="C53" s="152">
        <v>33341.4</v>
      </c>
      <c r="D53" s="142">
        <v>5347</v>
      </c>
      <c r="E53" s="67">
        <v>27681.4</v>
      </c>
      <c r="F53" s="81">
        <v>5102</v>
      </c>
      <c r="G53" s="67" t="str">
        <f>VLOOKUP(F53,CFOP[],2,FALSE)</f>
        <v xml:space="preserve">Venda de mercadoria adquirida ou recebida de terceiros </v>
      </c>
      <c r="H53" s="86" t="s">
        <v>492</v>
      </c>
      <c r="I53" s="75">
        <v>45971</v>
      </c>
      <c r="J53" s="66" t="s">
        <v>359</v>
      </c>
      <c r="K53" s="70"/>
      <c r="L53" s="66"/>
      <c r="M53" s="66"/>
      <c r="N53"/>
      <c r="O53"/>
    </row>
    <row r="54" spans="1:15" x14ac:dyDescent="0.3">
      <c r="A54" s="228">
        <v>1228</v>
      </c>
      <c r="B54" s="218" t="s">
        <v>477</v>
      </c>
      <c r="C54" s="152">
        <v>6273.54</v>
      </c>
      <c r="D54" s="142">
        <v>5348</v>
      </c>
      <c r="E54" s="67">
        <v>6273.54</v>
      </c>
      <c r="F54" s="81">
        <v>5102</v>
      </c>
      <c r="G54" s="67" t="str">
        <f>VLOOKUP(F54,CFOP[],2,FALSE)</f>
        <v xml:space="preserve">Venda de mercadoria adquirida ou recebida de terceiros </v>
      </c>
      <c r="H54" s="86" t="s">
        <v>493</v>
      </c>
      <c r="I54" s="75">
        <v>45971</v>
      </c>
      <c r="J54" s="66" t="s">
        <v>359</v>
      </c>
      <c r="K54" s="70"/>
      <c r="L54" s="66"/>
      <c r="M54" s="66"/>
      <c r="N54"/>
      <c r="O54"/>
    </row>
    <row r="55" spans="1:15" x14ac:dyDescent="0.3">
      <c r="A55" s="228">
        <v>1227</v>
      </c>
      <c r="B55" s="218" t="s">
        <v>494</v>
      </c>
      <c r="C55" s="152">
        <v>1613</v>
      </c>
      <c r="D55" s="142">
        <v>5349</v>
      </c>
      <c r="E55" s="67">
        <v>723</v>
      </c>
      <c r="F55" s="81">
        <v>5102</v>
      </c>
      <c r="G55" s="67" t="str">
        <f>VLOOKUP(F55,CFOP[],2,FALSE)</f>
        <v xml:space="preserve">Venda de mercadoria adquirida ou recebida de terceiros </v>
      </c>
      <c r="H55" s="86" t="s">
        <v>495</v>
      </c>
      <c r="I55" s="75">
        <v>45971</v>
      </c>
      <c r="J55" s="66" t="s">
        <v>359</v>
      </c>
      <c r="K55" s="70"/>
      <c r="L55" s="66"/>
      <c r="M55" s="66"/>
      <c r="N55"/>
      <c r="O55"/>
    </row>
    <row r="56" spans="1:15" x14ac:dyDescent="0.3">
      <c r="A56" s="228">
        <v>1151</v>
      </c>
      <c r="B56" s="218" t="s">
        <v>496</v>
      </c>
      <c r="C56" s="152">
        <v>5053</v>
      </c>
      <c r="D56" s="142">
        <v>5350</v>
      </c>
      <c r="E56" s="67">
        <v>723</v>
      </c>
      <c r="F56" s="81">
        <v>5102</v>
      </c>
      <c r="G56" s="67" t="str">
        <f>VLOOKUP(F56,CFOP[],2,FALSE)</f>
        <v xml:space="preserve">Venda de mercadoria adquirida ou recebida de terceiros </v>
      </c>
      <c r="H56" s="86" t="s">
        <v>497</v>
      </c>
      <c r="I56" s="75">
        <v>45974</v>
      </c>
      <c r="J56" s="66" t="s">
        <v>359</v>
      </c>
      <c r="K56" s="70"/>
      <c r="L56" s="66"/>
      <c r="M56" s="66"/>
      <c r="N56"/>
      <c r="O56"/>
    </row>
    <row r="57" spans="1:15" x14ac:dyDescent="0.3">
      <c r="A57" s="228">
        <v>436</v>
      </c>
      <c r="B57" s="218" t="s">
        <v>438</v>
      </c>
      <c r="C57" s="152">
        <v>5180</v>
      </c>
      <c r="D57" s="142">
        <v>5351</v>
      </c>
      <c r="E57" s="67">
        <v>3360</v>
      </c>
      <c r="F57" s="81">
        <v>5102</v>
      </c>
      <c r="G57" s="67" t="str">
        <f>VLOOKUP(F57,CFOP[],2,FALSE)</f>
        <v xml:space="preserve">Venda de mercadoria adquirida ou recebida de terceiros </v>
      </c>
      <c r="H57" s="86" t="s">
        <v>498</v>
      </c>
      <c r="I57" s="75">
        <v>45978</v>
      </c>
      <c r="J57" s="66" t="s">
        <v>359</v>
      </c>
      <c r="K57" s="70"/>
      <c r="L57" s="66"/>
      <c r="M57" s="66"/>
      <c r="N57"/>
      <c r="O57"/>
    </row>
    <row r="58" spans="1:15" x14ac:dyDescent="0.3">
      <c r="A58" s="228">
        <v>1242</v>
      </c>
      <c r="B58" s="218" t="s">
        <v>499</v>
      </c>
      <c r="C58" s="152">
        <v>1320</v>
      </c>
      <c r="D58" s="142">
        <v>5352</v>
      </c>
      <c r="E58" s="67">
        <v>1100</v>
      </c>
      <c r="F58" s="81">
        <v>6102</v>
      </c>
      <c r="G58" s="67" t="str">
        <f>VLOOKUP(F58,CFOP[],2,FALSE)</f>
        <v xml:space="preserve">Venda de mercadoria adquirida ou recebida de terceiros </v>
      </c>
      <c r="H58" s="86" t="s">
        <v>500</v>
      </c>
      <c r="I58" s="75">
        <v>45978</v>
      </c>
      <c r="J58" s="66" t="s">
        <v>359</v>
      </c>
      <c r="K58" s="70"/>
      <c r="L58" s="66"/>
      <c r="M58" s="66"/>
      <c r="N58"/>
      <c r="O58"/>
    </row>
    <row r="59" spans="1:15" x14ac:dyDescent="0.3">
      <c r="A59" s="228">
        <v>1096</v>
      </c>
      <c r="B59" s="218" t="s">
        <v>501</v>
      </c>
      <c r="C59" s="152">
        <v>1588</v>
      </c>
      <c r="D59" s="142">
        <v>5353</v>
      </c>
      <c r="E59" s="67">
        <v>698</v>
      </c>
      <c r="F59" s="81">
        <v>5102</v>
      </c>
      <c r="G59" s="67" t="str">
        <f>VLOOKUP(F59,CFOP[],2,FALSE)</f>
        <v xml:space="preserve">Venda de mercadoria adquirida ou recebida de terceiros </v>
      </c>
      <c r="H59" s="86" t="s">
        <v>502</v>
      </c>
      <c r="I59" s="75">
        <v>45978</v>
      </c>
      <c r="J59" s="66" t="s">
        <v>359</v>
      </c>
      <c r="K59" s="70"/>
      <c r="L59" s="66"/>
      <c r="M59" s="66"/>
      <c r="N59"/>
      <c r="O59"/>
    </row>
    <row r="60" spans="1:15" x14ac:dyDescent="0.3">
      <c r="A60" s="228">
        <v>424</v>
      </c>
      <c r="B60" s="218" t="s">
        <v>503</v>
      </c>
      <c r="C60" s="152">
        <v>26180</v>
      </c>
      <c r="D60" s="142">
        <v>5354</v>
      </c>
      <c r="E60" s="67">
        <v>7920</v>
      </c>
      <c r="F60" s="81">
        <v>5102</v>
      </c>
      <c r="G60" s="67" t="str">
        <f>VLOOKUP(F60,CFOP[],2,FALSE)</f>
        <v xml:space="preserve">Venda de mercadoria adquirida ou recebida de terceiros </v>
      </c>
      <c r="H60" s="86" t="s">
        <v>504</v>
      </c>
      <c r="I60" s="75">
        <v>45979</v>
      </c>
      <c r="J60" s="66" t="s">
        <v>359</v>
      </c>
      <c r="K60" s="70"/>
      <c r="L60" s="66"/>
      <c r="M60" s="66"/>
      <c r="N60"/>
      <c r="O60"/>
    </row>
    <row r="61" spans="1:15" x14ac:dyDescent="0.3">
      <c r="A61" s="228">
        <v>770</v>
      </c>
      <c r="B61" s="218" t="s">
        <v>505</v>
      </c>
      <c r="C61" s="152">
        <v>10560</v>
      </c>
      <c r="D61" s="142">
        <v>5355</v>
      </c>
      <c r="E61" s="67">
        <v>5460</v>
      </c>
      <c r="F61" s="81">
        <v>5102</v>
      </c>
      <c r="G61" s="67" t="str">
        <f>VLOOKUP(F61,CFOP[],2,FALSE)</f>
        <v xml:space="preserve">Venda de mercadoria adquirida ou recebida de terceiros </v>
      </c>
      <c r="H61" s="86" t="s">
        <v>506</v>
      </c>
      <c r="I61" s="75">
        <v>45980</v>
      </c>
      <c r="J61" s="66" t="s">
        <v>359</v>
      </c>
      <c r="K61" s="70"/>
      <c r="L61" s="66"/>
      <c r="M61" s="66"/>
      <c r="N61"/>
      <c r="O61"/>
    </row>
    <row r="62" spans="1:15" x14ac:dyDescent="0.3">
      <c r="A62" s="228">
        <v>461</v>
      </c>
      <c r="B62" s="218" t="s">
        <v>507</v>
      </c>
      <c r="C62" s="152">
        <v>3367.3</v>
      </c>
      <c r="D62" s="142">
        <v>5356</v>
      </c>
      <c r="E62" s="67">
        <v>3367.3</v>
      </c>
      <c r="F62" s="81">
        <v>5102</v>
      </c>
      <c r="G62" s="67" t="str">
        <f>VLOOKUP(F62,CFOP[],2,FALSE)</f>
        <v xml:space="preserve">Venda de mercadoria adquirida ou recebida de terceiros </v>
      </c>
      <c r="H62" s="86" t="s">
        <v>508</v>
      </c>
      <c r="I62" s="75">
        <v>45980</v>
      </c>
      <c r="J62" s="66" t="s">
        <v>359</v>
      </c>
      <c r="K62" s="70"/>
      <c r="L62" s="66"/>
      <c r="M62" s="66"/>
      <c r="N62"/>
      <c r="O62"/>
    </row>
    <row r="63" spans="1:15" x14ac:dyDescent="0.3">
      <c r="A63" s="228" t="s">
        <v>15</v>
      </c>
      <c r="B63" s="218" t="s">
        <v>576</v>
      </c>
      <c r="C63" s="152">
        <v>7660</v>
      </c>
      <c r="D63" s="142">
        <v>5357</v>
      </c>
      <c r="E63" s="67">
        <v>7660</v>
      </c>
      <c r="F63" s="81">
        <v>5901</v>
      </c>
      <c r="G63" s="67" t="str">
        <f>VLOOKUP(F63,CFOP[],2,FALSE)</f>
        <v xml:space="preserve">Remessa para industrialização por encomenda </v>
      </c>
      <c r="H63" s="86" t="s">
        <v>509</v>
      </c>
      <c r="I63" s="75">
        <v>45986</v>
      </c>
      <c r="J63" s="66" t="s">
        <v>359</v>
      </c>
      <c r="K63" s="70"/>
      <c r="L63" s="66"/>
      <c r="M63" s="66"/>
      <c r="N63"/>
      <c r="O63"/>
    </row>
    <row r="64" spans="1:15" x14ac:dyDescent="0.3">
      <c r="A64" s="228">
        <v>1253</v>
      </c>
      <c r="B64" s="218" t="s">
        <v>510</v>
      </c>
      <c r="C64" s="152">
        <v>4236</v>
      </c>
      <c r="D64" s="142">
        <v>5358</v>
      </c>
      <c r="E64" s="67">
        <v>4236</v>
      </c>
      <c r="F64" s="81">
        <v>5102</v>
      </c>
      <c r="G64" s="67" t="str">
        <f>VLOOKUP(F64,CFOP[],2,FALSE)</f>
        <v xml:space="preserve">Venda de mercadoria adquirida ou recebida de terceiros </v>
      </c>
      <c r="H64" s="86" t="s">
        <v>511</v>
      </c>
      <c r="I64" s="75">
        <v>45985</v>
      </c>
      <c r="J64" s="66" t="s">
        <v>359</v>
      </c>
      <c r="K64" s="70"/>
      <c r="L64" s="66"/>
      <c r="M64" s="66"/>
      <c r="N64"/>
      <c r="O64"/>
    </row>
    <row r="65" spans="1:15" x14ac:dyDescent="0.3">
      <c r="A65" s="228">
        <v>1145</v>
      </c>
      <c r="B65" s="218" t="s">
        <v>512</v>
      </c>
      <c r="C65" s="152">
        <v>16247.15</v>
      </c>
      <c r="D65" s="142">
        <v>5359</v>
      </c>
      <c r="E65" s="67">
        <v>6447.15</v>
      </c>
      <c r="F65" s="81">
        <v>5102</v>
      </c>
      <c r="G65" s="67" t="str">
        <f>VLOOKUP(F65,CFOP[],2,FALSE)</f>
        <v xml:space="preserve">Venda de mercadoria adquirida ou recebida de terceiros </v>
      </c>
      <c r="H65" s="86" t="s">
        <v>513</v>
      </c>
      <c r="I65" s="75">
        <v>45985</v>
      </c>
      <c r="J65" s="66" t="s">
        <v>359</v>
      </c>
      <c r="K65" s="70"/>
      <c r="L65" s="66"/>
      <c r="M65" s="66"/>
      <c r="N65"/>
      <c r="O65"/>
    </row>
    <row r="66" spans="1:15" x14ac:dyDescent="0.3">
      <c r="A66" s="228">
        <v>1251</v>
      </c>
      <c r="B66" s="218" t="s">
        <v>514</v>
      </c>
      <c r="C66" s="152">
        <v>1720</v>
      </c>
      <c r="D66" s="142">
        <v>5360</v>
      </c>
      <c r="E66" s="67">
        <v>830</v>
      </c>
      <c r="F66" s="81">
        <v>5102</v>
      </c>
      <c r="G66" s="67" t="str">
        <f>VLOOKUP(F66,CFOP[],2,FALSE)</f>
        <v xml:space="preserve">Venda de mercadoria adquirida ou recebida de terceiros </v>
      </c>
      <c r="H66" s="86" t="s">
        <v>515</v>
      </c>
      <c r="I66" s="75">
        <v>45985</v>
      </c>
      <c r="J66" s="66" t="s">
        <v>359</v>
      </c>
      <c r="K66" s="70"/>
      <c r="L66" s="66"/>
      <c r="M66" s="66"/>
      <c r="N66"/>
      <c r="O66"/>
    </row>
    <row r="67" spans="1:15" x14ac:dyDescent="0.3">
      <c r="A67" s="228" t="s">
        <v>15</v>
      </c>
      <c r="B67" s="218" t="s">
        <v>576</v>
      </c>
      <c r="C67" s="152">
        <v>13900</v>
      </c>
      <c r="D67" s="142">
        <v>5361</v>
      </c>
      <c r="E67" s="67">
        <v>13900</v>
      </c>
      <c r="F67" s="81">
        <v>5901</v>
      </c>
      <c r="G67" s="67" t="str">
        <f>VLOOKUP(F67,CFOP[],2,FALSE)</f>
        <v xml:space="preserve">Remessa para industrialização por encomenda </v>
      </c>
      <c r="H67" s="86" t="s">
        <v>516</v>
      </c>
      <c r="I67" s="75">
        <v>45986</v>
      </c>
      <c r="J67" s="66" t="s">
        <v>359</v>
      </c>
      <c r="K67" s="70"/>
      <c r="L67" s="66"/>
      <c r="M67" s="66"/>
      <c r="N67"/>
      <c r="O67"/>
    </row>
    <row r="68" spans="1:15" x14ac:dyDescent="0.3">
      <c r="A68" s="228" t="s">
        <v>15</v>
      </c>
      <c r="B68" s="218" t="s">
        <v>576</v>
      </c>
      <c r="C68" s="152">
        <v>5910</v>
      </c>
      <c r="D68" s="142">
        <v>5362</v>
      </c>
      <c r="E68" s="67">
        <v>5910</v>
      </c>
      <c r="F68" s="81">
        <v>5901</v>
      </c>
      <c r="G68" s="67" t="str">
        <f>VLOOKUP(F68,CFOP[],2,FALSE)</f>
        <v xml:space="preserve">Remessa para industrialização por encomenda </v>
      </c>
      <c r="H68" s="86" t="s">
        <v>517</v>
      </c>
      <c r="I68" s="75">
        <v>45986</v>
      </c>
      <c r="J68" s="66" t="s">
        <v>359</v>
      </c>
      <c r="K68" s="70"/>
      <c r="L68" s="66"/>
      <c r="M68" s="66"/>
      <c r="N68"/>
      <c r="O68"/>
    </row>
    <row r="69" spans="1:15" x14ac:dyDescent="0.3">
      <c r="A69" s="228" t="s">
        <v>15</v>
      </c>
      <c r="B69" s="218" t="s">
        <v>576</v>
      </c>
      <c r="C69" s="152">
        <v>4520</v>
      </c>
      <c r="D69" s="142">
        <v>5363</v>
      </c>
      <c r="E69" s="67">
        <v>4520</v>
      </c>
      <c r="F69" s="81">
        <v>5901</v>
      </c>
      <c r="G69" s="67" t="str">
        <f>VLOOKUP(F69,CFOP[],2,FALSE)</f>
        <v xml:space="preserve">Remessa para industrialização por encomenda </v>
      </c>
      <c r="H69" s="86" t="s">
        <v>518</v>
      </c>
      <c r="I69" s="75">
        <v>45986</v>
      </c>
      <c r="J69" s="66" t="s">
        <v>359</v>
      </c>
      <c r="K69" s="70"/>
      <c r="L69" s="66"/>
      <c r="M69" s="66"/>
      <c r="N69"/>
      <c r="O69"/>
    </row>
    <row r="70" spans="1:15" x14ac:dyDescent="0.3">
      <c r="A70" s="228" t="s">
        <v>15</v>
      </c>
      <c r="B70" s="218" t="s">
        <v>519</v>
      </c>
      <c r="C70" s="152">
        <v>7560</v>
      </c>
      <c r="D70" s="142">
        <v>5364</v>
      </c>
      <c r="E70" s="67">
        <v>7560</v>
      </c>
      <c r="F70" s="81">
        <v>2202</v>
      </c>
      <c r="G70" s="67" t="str">
        <f>VLOOKUP(F70,CFOP[],2,FALSE)</f>
        <v xml:space="preserve">Devolução de venda de mercadoria adquirida ou recebida de terceiros </v>
      </c>
      <c r="H70" s="86" t="s">
        <v>520</v>
      </c>
      <c r="I70" s="75">
        <v>45987</v>
      </c>
      <c r="J70" s="66" t="s">
        <v>57</v>
      </c>
      <c r="K70" s="70"/>
      <c r="L70" s="66"/>
      <c r="M70" s="66"/>
      <c r="N70"/>
      <c r="O70"/>
    </row>
    <row r="71" spans="1:15" x14ac:dyDescent="0.3">
      <c r="A71" s="228">
        <v>1271</v>
      </c>
      <c r="B71" s="218" t="s">
        <v>521</v>
      </c>
      <c r="C71" s="152">
        <v>1865.7</v>
      </c>
      <c r="D71" s="142">
        <v>5365</v>
      </c>
      <c r="E71" s="67">
        <v>1865.7</v>
      </c>
      <c r="F71" s="81">
        <v>5102</v>
      </c>
      <c r="G71" s="67" t="str">
        <f>VLOOKUP(F71,CFOP[],2,FALSE)</f>
        <v xml:space="preserve">Venda de mercadoria adquirida ou recebida de terceiros </v>
      </c>
      <c r="H71" s="86" t="s">
        <v>522</v>
      </c>
      <c r="I71" s="75">
        <v>45988</v>
      </c>
      <c r="J71" s="66" t="s">
        <v>359</v>
      </c>
      <c r="K71" s="70"/>
      <c r="L71" s="66"/>
      <c r="M71" s="66"/>
      <c r="N71"/>
      <c r="O71"/>
    </row>
    <row r="72" spans="1:15" x14ac:dyDescent="0.3">
      <c r="A72" s="228">
        <v>1241</v>
      </c>
      <c r="B72" s="218" t="s">
        <v>494</v>
      </c>
      <c r="C72" s="152">
        <v>5111.3</v>
      </c>
      <c r="D72" s="142">
        <v>5366</v>
      </c>
      <c r="E72" s="67">
        <v>5111.3</v>
      </c>
      <c r="F72" s="81">
        <v>5102</v>
      </c>
      <c r="G72" s="67" t="str">
        <f>VLOOKUP(F72,CFOP[],2,FALSE)</f>
        <v xml:space="preserve">Venda de mercadoria adquirida ou recebida de terceiros </v>
      </c>
      <c r="H72" s="86" t="s">
        <v>523</v>
      </c>
      <c r="I72" s="75">
        <v>45988</v>
      </c>
      <c r="J72" s="66" t="s">
        <v>359</v>
      </c>
      <c r="K72" s="70"/>
      <c r="L72" s="66"/>
      <c r="M72" s="66"/>
      <c r="N72"/>
      <c r="O72"/>
    </row>
    <row r="73" spans="1:15" x14ac:dyDescent="0.3">
      <c r="A73" s="228">
        <v>1277</v>
      </c>
      <c r="B73" s="218" t="s">
        <v>524</v>
      </c>
      <c r="C73" s="152">
        <v>3440</v>
      </c>
      <c r="D73" s="142">
        <v>5367</v>
      </c>
      <c r="E73" s="67">
        <v>3440</v>
      </c>
      <c r="F73" s="81">
        <v>5102</v>
      </c>
      <c r="G73" s="67" t="str">
        <f>VLOOKUP(F73,CFOP[],2,FALSE)</f>
        <v xml:space="preserve">Venda de mercadoria adquirida ou recebida de terceiros </v>
      </c>
      <c r="H73" s="86" t="s">
        <v>525</v>
      </c>
      <c r="I73" s="75">
        <v>45988</v>
      </c>
      <c r="J73" s="66" t="s">
        <v>359</v>
      </c>
      <c r="K73" s="70"/>
      <c r="L73" s="66"/>
      <c r="M73" s="66"/>
      <c r="N73"/>
      <c r="O73"/>
    </row>
    <row r="74" spans="1:15" x14ac:dyDescent="0.3">
      <c r="A74" s="228">
        <v>332</v>
      </c>
      <c r="B74" s="218" t="s">
        <v>526</v>
      </c>
      <c r="C74" s="152">
        <v>33874.910000000003</v>
      </c>
      <c r="D74" s="142">
        <v>5368</v>
      </c>
      <c r="E74" s="67">
        <v>28469.41</v>
      </c>
      <c r="F74" s="81">
        <v>5102</v>
      </c>
      <c r="G74" s="67" t="str">
        <f>VLOOKUP(F74,CFOP[],2,FALSE)</f>
        <v xml:space="preserve">Venda de mercadoria adquirida ou recebida de terceiros </v>
      </c>
      <c r="H74" s="86" t="s">
        <v>527</v>
      </c>
      <c r="I74" s="75">
        <v>45989</v>
      </c>
      <c r="J74" s="66" t="s">
        <v>57</v>
      </c>
      <c r="K74" s="70"/>
      <c r="L74" s="66"/>
      <c r="M74" s="66"/>
      <c r="N74"/>
      <c r="O74"/>
    </row>
    <row r="75" spans="1:15" x14ac:dyDescent="0.3">
      <c r="A75" s="228">
        <v>1118</v>
      </c>
      <c r="B75" s="218" t="s">
        <v>528</v>
      </c>
      <c r="C75" s="152">
        <v>17644.3</v>
      </c>
      <c r="D75" s="142">
        <v>5369</v>
      </c>
      <c r="E75" s="67">
        <v>12901</v>
      </c>
      <c r="F75" s="82">
        <v>5102</v>
      </c>
      <c r="G75" s="67" t="str">
        <f>VLOOKUP(F75,CFOP[],2,FALSE)</f>
        <v xml:space="preserve">Venda de mercadoria adquirida ou recebida de terceiros </v>
      </c>
      <c r="H75" s="88" t="s">
        <v>529</v>
      </c>
      <c r="I75" s="76">
        <v>45989</v>
      </c>
      <c r="J75" s="68" t="s">
        <v>359</v>
      </c>
      <c r="K75" s="71"/>
      <c r="L75" s="68"/>
      <c r="M75" s="68"/>
      <c r="N75"/>
      <c r="O75"/>
    </row>
    <row r="76" spans="1:15" x14ac:dyDescent="0.3">
      <c r="A76" s="229" t="s">
        <v>15</v>
      </c>
      <c r="B76" s="160" t="s">
        <v>438</v>
      </c>
      <c r="C76" s="153">
        <v>5000</v>
      </c>
      <c r="D76" s="143">
        <v>5370</v>
      </c>
      <c r="E76" s="72">
        <v>5000</v>
      </c>
      <c r="F76" s="91">
        <v>5916</v>
      </c>
      <c r="G76" s="67" t="str">
        <f>VLOOKUP(F76,CFOP[],2,FALSE)</f>
        <v xml:space="preserve">Retorno de mercadoria recebida para conserto ou reparo </v>
      </c>
      <c r="H76" s="88" t="s">
        <v>530</v>
      </c>
      <c r="I76" s="173">
        <v>45989</v>
      </c>
      <c r="J76" s="68" t="s">
        <v>359</v>
      </c>
      <c r="K76" s="73"/>
      <c r="L76" s="68"/>
      <c r="M76" s="68"/>
    </row>
    <row r="77" spans="1:15" x14ac:dyDescent="0.3">
      <c r="A77" s="228">
        <v>399</v>
      </c>
      <c r="B77" s="218" t="s">
        <v>438</v>
      </c>
      <c r="C77" s="152">
        <v>7644.5</v>
      </c>
      <c r="D77" s="142">
        <v>5371</v>
      </c>
      <c r="E77" s="67">
        <v>1333.2</v>
      </c>
      <c r="F77" s="81">
        <v>5102</v>
      </c>
      <c r="G77" s="67" t="str">
        <f>VLOOKUP(F77,CFOP[],2,FALSE)</f>
        <v xml:space="preserve">Venda de mercadoria adquirida ou recebida de terceiros </v>
      </c>
      <c r="H77" s="86" t="s">
        <v>531</v>
      </c>
      <c r="I77" s="69">
        <v>45989</v>
      </c>
      <c r="J77" s="66" t="s">
        <v>359</v>
      </c>
      <c r="K77" s="87"/>
      <c r="L77" s="66"/>
      <c r="M77" s="66"/>
    </row>
    <row r="78" spans="1:15" x14ac:dyDescent="0.3">
      <c r="A78" s="228">
        <v>332</v>
      </c>
      <c r="B78" s="218" t="s">
        <v>528</v>
      </c>
      <c r="C78" s="152">
        <v>33874.81</v>
      </c>
      <c r="D78" s="142">
        <v>5372</v>
      </c>
      <c r="E78" s="67">
        <v>28469.41</v>
      </c>
      <c r="F78" s="81">
        <v>5102</v>
      </c>
      <c r="G78" s="67" t="str">
        <f>VLOOKUP(F78,CFOP[],2,FALSE)</f>
        <v xml:space="preserve">Venda de mercadoria adquirida ou recebida de terceiros </v>
      </c>
      <c r="H78" s="86" t="s">
        <v>532</v>
      </c>
      <c r="I78" s="69">
        <v>45992</v>
      </c>
      <c r="J78" s="66" t="s">
        <v>359</v>
      </c>
      <c r="K78" s="87"/>
      <c r="L78" s="66"/>
      <c r="M78" s="66"/>
    </row>
    <row r="79" spans="1:15" x14ac:dyDescent="0.3">
      <c r="A79" s="228">
        <v>1285</v>
      </c>
      <c r="B79" s="218" t="s">
        <v>533</v>
      </c>
      <c r="C79" s="152">
        <v>5372.64</v>
      </c>
      <c r="D79" s="142">
        <v>5373</v>
      </c>
      <c r="E79" s="67">
        <v>5372.64</v>
      </c>
      <c r="F79" s="81">
        <v>5102</v>
      </c>
      <c r="G79" s="67" t="str">
        <f>VLOOKUP(F79,CFOP[],2,FALSE)</f>
        <v xml:space="preserve">Venda de mercadoria adquirida ou recebida de terceiros </v>
      </c>
      <c r="H79" s="86" t="s">
        <v>534</v>
      </c>
      <c r="I79" s="69">
        <v>45992</v>
      </c>
      <c r="J79" s="66" t="s">
        <v>359</v>
      </c>
      <c r="K79" s="87"/>
      <c r="L79" s="66"/>
      <c r="M79" s="66"/>
    </row>
    <row r="80" spans="1:15" x14ac:dyDescent="0.3">
      <c r="A80" s="228">
        <v>1284</v>
      </c>
      <c r="B80" s="218" t="s">
        <v>535</v>
      </c>
      <c r="C80" s="152">
        <v>1315.7</v>
      </c>
      <c r="D80" s="142">
        <v>5374</v>
      </c>
      <c r="E80" s="67">
        <v>665.7</v>
      </c>
      <c r="F80" s="81">
        <v>5102</v>
      </c>
      <c r="G80" s="67" t="str">
        <f>VLOOKUP(F80,CFOP[],2,FALSE)</f>
        <v xml:space="preserve">Venda de mercadoria adquirida ou recebida de terceiros </v>
      </c>
      <c r="H80" s="86" t="s">
        <v>536</v>
      </c>
      <c r="I80" s="69">
        <v>45992</v>
      </c>
      <c r="J80" s="66" t="s">
        <v>359</v>
      </c>
      <c r="K80" s="87"/>
      <c r="L80" s="66"/>
      <c r="M80" s="66"/>
    </row>
    <row r="81" spans="1:13" x14ac:dyDescent="0.3">
      <c r="A81" s="228" t="s">
        <v>15</v>
      </c>
      <c r="B81" s="218" t="s">
        <v>519</v>
      </c>
      <c r="C81" s="152">
        <v>7560</v>
      </c>
      <c r="D81" s="142">
        <v>5375</v>
      </c>
      <c r="E81" s="67">
        <v>7560</v>
      </c>
      <c r="F81" s="81">
        <v>2202</v>
      </c>
      <c r="G81" s="67" t="str">
        <f>VLOOKUP(F81,CFOP[],2,FALSE)</f>
        <v xml:space="preserve">Devolução de venda de mercadoria adquirida ou recebida de terceiros </v>
      </c>
      <c r="H81" s="86" t="s">
        <v>537</v>
      </c>
      <c r="I81" s="69">
        <v>45994</v>
      </c>
      <c r="J81" s="66" t="s">
        <v>57</v>
      </c>
      <c r="K81" s="87"/>
      <c r="L81" s="66"/>
      <c r="M81" s="66"/>
    </row>
    <row r="82" spans="1:13" x14ac:dyDescent="0.3">
      <c r="A82" s="228">
        <v>1272</v>
      </c>
      <c r="B82" s="218" t="s">
        <v>538</v>
      </c>
      <c r="C82" s="152">
        <v>6160</v>
      </c>
      <c r="D82" s="142">
        <v>5376</v>
      </c>
      <c r="E82" s="67">
        <v>1240</v>
      </c>
      <c r="F82" s="81">
        <v>5101</v>
      </c>
      <c r="G82" s="67" t="str">
        <f>VLOOKUP(F82,CFOP[],2,FALSE)</f>
        <v xml:space="preserve">Venda de produção do estabelecimento </v>
      </c>
      <c r="H82" s="86" t="s">
        <v>539</v>
      </c>
      <c r="I82" s="69">
        <v>45994</v>
      </c>
      <c r="J82" s="66" t="s">
        <v>57</v>
      </c>
      <c r="K82" s="87"/>
      <c r="L82" s="66"/>
      <c r="M82" s="66"/>
    </row>
    <row r="83" spans="1:13" x14ac:dyDescent="0.3">
      <c r="A83" s="228">
        <v>418</v>
      </c>
      <c r="B83" s="218" t="s">
        <v>538</v>
      </c>
      <c r="C83" s="152">
        <v>7445</v>
      </c>
      <c r="D83" s="142">
        <v>5377</v>
      </c>
      <c r="E83" s="67">
        <v>1180</v>
      </c>
      <c r="F83" s="81">
        <v>5101</v>
      </c>
      <c r="G83" s="67" t="str">
        <f>VLOOKUP(F83,CFOP[],2,FALSE)</f>
        <v xml:space="preserve">Venda de produção do estabelecimento </v>
      </c>
      <c r="H83" s="86" t="s">
        <v>540</v>
      </c>
      <c r="I83" s="69">
        <v>45994</v>
      </c>
      <c r="J83" s="66" t="s">
        <v>57</v>
      </c>
      <c r="K83" s="87"/>
      <c r="L83" s="66"/>
      <c r="M83" s="66"/>
    </row>
    <row r="84" spans="1:13" x14ac:dyDescent="0.3">
      <c r="A84" s="228">
        <v>1272</v>
      </c>
      <c r="B84" s="218" t="s">
        <v>538</v>
      </c>
      <c r="C84" s="152">
        <v>6160</v>
      </c>
      <c r="D84" s="142">
        <v>5378</v>
      </c>
      <c r="E84" s="67">
        <v>1240</v>
      </c>
      <c r="F84" s="81">
        <v>5101</v>
      </c>
      <c r="G84" s="67" t="str">
        <f>VLOOKUP(F84,CFOP[],2,FALSE)</f>
        <v xml:space="preserve">Venda de produção do estabelecimento </v>
      </c>
      <c r="H84" s="86" t="s">
        <v>541</v>
      </c>
      <c r="I84" s="69">
        <v>45995</v>
      </c>
      <c r="J84" s="66" t="s">
        <v>359</v>
      </c>
      <c r="K84" s="87"/>
      <c r="L84" s="66"/>
      <c r="M84" s="66"/>
    </row>
    <row r="85" spans="1:13" x14ac:dyDescent="0.3">
      <c r="A85" s="228">
        <v>418</v>
      </c>
      <c r="B85" s="218" t="s">
        <v>538</v>
      </c>
      <c r="C85" s="152">
        <v>7445</v>
      </c>
      <c r="D85" s="142">
        <v>5379</v>
      </c>
      <c r="E85" s="67">
        <v>1180</v>
      </c>
      <c r="F85" s="81">
        <v>5101</v>
      </c>
      <c r="G85" s="67" t="str">
        <f>VLOOKUP(F85,CFOP[],2,FALSE)</f>
        <v xml:space="preserve">Venda de produção do estabelecimento </v>
      </c>
      <c r="H85" s="86" t="s">
        <v>542</v>
      </c>
      <c r="I85" s="69">
        <v>45995</v>
      </c>
      <c r="J85" s="66" t="s">
        <v>359</v>
      </c>
      <c r="K85" s="87"/>
      <c r="L85" s="66"/>
      <c r="M85" s="66"/>
    </row>
    <row r="86" spans="1:13" x14ac:dyDescent="0.3">
      <c r="A86" s="228" t="s">
        <v>15</v>
      </c>
      <c r="B86" s="218" t="s">
        <v>543</v>
      </c>
      <c r="C86" s="152">
        <v>16224.96</v>
      </c>
      <c r="D86" s="142">
        <v>5380</v>
      </c>
      <c r="E86" s="67">
        <v>16224.96</v>
      </c>
      <c r="F86" s="81">
        <v>6949</v>
      </c>
      <c r="G86" s="67" t="str">
        <f>VLOOKUP(F86,CFOP[],2,FALSE)</f>
        <v xml:space="preserve">Outra saída de mercadoria ou prestação de serviço não especificado </v>
      </c>
      <c r="H86" s="86" t="s">
        <v>544</v>
      </c>
      <c r="I86" s="69">
        <v>45999</v>
      </c>
      <c r="J86" s="66" t="s">
        <v>359</v>
      </c>
      <c r="K86" s="87"/>
      <c r="L86" s="66"/>
      <c r="M86" s="66"/>
    </row>
    <row r="87" spans="1:13" x14ac:dyDescent="0.3">
      <c r="A87" s="228">
        <v>983</v>
      </c>
      <c r="B87" s="218" t="s">
        <v>543</v>
      </c>
      <c r="C87" s="152">
        <v>10685</v>
      </c>
      <c r="D87" s="142">
        <v>5381</v>
      </c>
      <c r="E87" s="67">
        <v>6205</v>
      </c>
      <c r="F87" s="81">
        <v>6102</v>
      </c>
      <c r="G87" s="67" t="str">
        <f>VLOOKUP(F87,CFOP[],2,FALSE)</f>
        <v xml:space="preserve">Venda de mercadoria adquirida ou recebida de terceiros </v>
      </c>
      <c r="H87" s="86" t="s">
        <v>545</v>
      </c>
      <c r="I87" s="69">
        <v>45999</v>
      </c>
      <c r="J87" s="66" t="s">
        <v>359</v>
      </c>
      <c r="K87" s="87"/>
      <c r="L87" s="66"/>
      <c r="M87" s="66"/>
    </row>
    <row r="88" spans="1:13" x14ac:dyDescent="0.3">
      <c r="A88" s="228" t="s">
        <v>15</v>
      </c>
      <c r="B88" s="218" t="s">
        <v>519</v>
      </c>
      <c r="C88" s="152">
        <v>7560</v>
      </c>
      <c r="D88" s="142">
        <v>5382</v>
      </c>
      <c r="E88" s="67">
        <v>7560</v>
      </c>
      <c r="F88" s="81">
        <v>6202</v>
      </c>
      <c r="G88" s="67" t="str">
        <f>VLOOKUP(F88,CFOP[],2,FALSE)</f>
        <v xml:space="preserve">Devolução de venda de mercadoria adquirida ou recebida de terceiros </v>
      </c>
      <c r="H88" s="86" t="s">
        <v>546</v>
      </c>
      <c r="I88" s="69">
        <v>45999</v>
      </c>
      <c r="J88" s="66" t="s">
        <v>359</v>
      </c>
      <c r="K88" s="87"/>
      <c r="L88" s="66"/>
      <c r="M88" s="66"/>
    </row>
    <row r="89" spans="1:13" x14ac:dyDescent="0.3">
      <c r="A89" s="228">
        <v>983</v>
      </c>
      <c r="B89" s="218" t="s">
        <v>547</v>
      </c>
      <c r="C89" s="152">
        <v>10685</v>
      </c>
      <c r="D89" s="142">
        <v>5383</v>
      </c>
      <c r="E89" s="67">
        <v>6205</v>
      </c>
      <c r="F89" s="81">
        <v>6108</v>
      </c>
      <c r="G89" s="67" t="str">
        <f>VLOOKUP(F89,CFOP[],2,FALSE)</f>
        <v xml:space="preserve">Venda de mercadoria adquirida ou recebida de terceiros, destinada a não contribuinte </v>
      </c>
      <c r="H89" s="86" t="s">
        <v>548</v>
      </c>
      <c r="I89" s="69">
        <v>46000</v>
      </c>
      <c r="J89" s="66" t="s">
        <v>359</v>
      </c>
      <c r="K89" s="87"/>
      <c r="L89" s="66"/>
      <c r="M89" s="66"/>
    </row>
    <row r="90" spans="1:13" x14ac:dyDescent="0.3">
      <c r="A90" s="228">
        <v>1260</v>
      </c>
      <c r="B90" s="218" t="s">
        <v>549</v>
      </c>
      <c r="C90" s="152">
        <v>2250</v>
      </c>
      <c r="D90" s="142">
        <v>5384</v>
      </c>
      <c r="E90" s="67">
        <v>2250</v>
      </c>
      <c r="F90" s="81">
        <v>5102</v>
      </c>
      <c r="G90" s="67" t="str">
        <f>VLOOKUP(F90,CFOP[],2,FALSE)</f>
        <v xml:space="preserve">Venda de mercadoria adquirida ou recebida de terceiros </v>
      </c>
      <c r="H90" s="86" t="s">
        <v>550</v>
      </c>
      <c r="I90" s="69">
        <v>46001</v>
      </c>
      <c r="J90" s="66" t="s">
        <v>359</v>
      </c>
      <c r="K90" s="87"/>
      <c r="L90" s="66"/>
      <c r="M90" s="66"/>
    </row>
    <row r="91" spans="1:13" x14ac:dyDescent="0.3">
      <c r="A91" s="228">
        <v>636</v>
      </c>
      <c r="B91" s="218" t="s">
        <v>549</v>
      </c>
      <c r="C91" s="152">
        <v>12523</v>
      </c>
      <c r="D91" s="142">
        <v>5385</v>
      </c>
      <c r="E91" s="67">
        <v>7443</v>
      </c>
      <c r="F91" s="81">
        <v>5102</v>
      </c>
      <c r="G91" s="67" t="str">
        <f>VLOOKUP(F91,CFOP[],2,FALSE)</f>
        <v xml:space="preserve">Venda de mercadoria adquirida ou recebida de terceiros </v>
      </c>
      <c r="H91" s="86" t="s">
        <v>551</v>
      </c>
      <c r="I91" s="69">
        <v>46001</v>
      </c>
      <c r="J91" s="66" t="s">
        <v>359</v>
      </c>
      <c r="K91" s="87"/>
      <c r="L91" s="66"/>
      <c r="M91" s="66"/>
    </row>
    <row r="92" spans="1:13" x14ac:dyDescent="0.3">
      <c r="A92" s="228" t="s">
        <v>15</v>
      </c>
      <c r="B92" s="218" t="s">
        <v>576</v>
      </c>
      <c r="C92" s="152">
        <v>2550</v>
      </c>
      <c r="D92" s="142">
        <v>5386</v>
      </c>
      <c r="E92" s="67">
        <v>2550</v>
      </c>
      <c r="F92" s="81">
        <v>5901</v>
      </c>
      <c r="G92" s="67" t="str">
        <f>VLOOKUP(F92,CFOP[],2,FALSE)</f>
        <v xml:space="preserve">Remessa para industrialização por encomenda </v>
      </c>
      <c r="H92" s="86" t="s">
        <v>552</v>
      </c>
      <c r="I92" s="69">
        <v>46001</v>
      </c>
      <c r="J92" s="66" t="s">
        <v>359</v>
      </c>
      <c r="K92" s="87"/>
      <c r="L92" s="66"/>
      <c r="M92" s="66"/>
    </row>
    <row r="93" spans="1:13" x14ac:dyDescent="0.3">
      <c r="A93" s="228" t="s">
        <v>15</v>
      </c>
      <c r="B93" s="218" t="s">
        <v>459</v>
      </c>
      <c r="C93" s="152">
        <v>627.6</v>
      </c>
      <c r="D93" s="142">
        <v>5387</v>
      </c>
      <c r="E93" s="67">
        <v>627.6</v>
      </c>
      <c r="F93" s="81">
        <v>5901</v>
      </c>
      <c r="G93" s="67" t="str">
        <f>VLOOKUP(F93,CFOP[],2,FALSE)</f>
        <v xml:space="preserve">Remessa para industrialização por encomenda </v>
      </c>
      <c r="H93" s="86" t="s">
        <v>553</v>
      </c>
      <c r="I93" s="69">
        <v>46001</v>
      </c>
      <c r="J93" s="66" t="s">
        <v>359</v>
      </c>
      <c r="K93" s="87"/>
      <c r="L93" s="66"/>
      <c r="M93" s="66"/>
    </row>
    <row r="94" spans="1:13" x14ac:dyDescent="0.3">
      <c r="A94" s="228">
        <v>1316</v>
      </c>
      <c r="B94" s="218" t="s">
        <v>554</v>
      </c>
      <c r="C94" s="152">
        <v>1900</v>
      </c>
      <c r="D94" s="142">
        <v>5388</v>
      </c>
      <c r="E94" s="67">
        <v>1900</v>
      </c>
      <c r="F94" s="81">
        <v>5102</v>
      </c>
      <c r="G94" s="67" t="str">
        <f>VLOOKUP(F94,CFOP[],2,FALSE)</f>
        <v xml:space="preserve">Venda de mercadoria adquirida ou recebida de terceiros </v>
      </c>
      <c r="H94" s="86" t="s">
        <v>555</v>
      </c>
      <c r="I94" s="69">
        <v>46002</v>
      </c>
      <c r="J94" s="66" t="s">
        <v>359</v>
      </c>
      <c r="K94" s="87"/>
      <c r="L94" s="66"/>
      <c r="M94" s="66"/>
    </row>
    <row r="95" spans="1:13" x14ac:dyDescent="0.3">
      <c r="A95" s="228">
        <v>1225</v>
      </c>
      <c r="B95" s="218" t="s">
        <v>556</v>
      </c>
      <c r="C95" s="152">
        <v>5710.8</v>
      </c>
      <c r="D95" s="142">
        <v>5389</v>
      </c>
      <c r="E95" s="67">
        <v>380.8</v>
      </c>
      <c r="F95" s="81">
        <v>5102</v>
      </c>
      <c r="G95" s="67" t="str">
        <f>VLOOKUP(F95,CFOP[],2,FALSE)</f>
        <v xml:space="preserve">Venda de mercadoria adquirida ou recebida de terceiros </v>
      </c>
      <c r="H95" s="86" t="s">
        <v>557</v>
      </c>
      <c r="I95" s="69">
        <v>46002</v>
      </c>
      <c r="J95" s="66" t="s">
        <v>359</v>
      </c>
      <c r="K95" s="87"/>
      <c r="L95" s="66"/>
      <c r="M95" s="66"/>
    </row>
    <row r="96" spans="1:13" x14ac:dyDescent="0.3">
      <c r="A96" s="228" t="s">
        <v>15</v>
      </c>
      <c r="B96" s="218" t="s">
        <v>558</v>
      </c>
      <c r="C96" s="152">
        <v>3904.25</v>
      </c>
      <c r="D96" s="142">
        <v>5390</v>
      </c>
      <c r="E96" s="67">
        <v>3904.25</v>
      </c>
      <c r="F96" s="81">
        <v>5102</v>
      </c>
      <c r="G96" s="67" t="str">
        <f>VLOOKUP(F96,CFOP[],2,FALSE)</f>
        <v xml:space="preserve">Venda de mercadoria adquirida ou recebida de terceiros </v>
      </c>
      <c r="H96" s="86" t="s">
        <v>559</v>
      </c>
      <c r="I96" s="69">
        <v>46003</v>
      </c>
      <c r="J96" s="66" t="s">
        <v>359</v>
      </c>
      <c r="K96" s="87"/>
      <c r="L96" s="66"/>
      <c r="M96" s="66"/>
    </row>
    <row r="97" spans="1:13" x14ac:dyDescent="0.3">
      <c r="A97" s="228">
        <v>1158</v>
      </c>
      <c r="B97" s="218" t="s">
        <v>560</v>
      </c>
      <c r="C97" s="152">
        <v>14341.28</v>
      </c>
      <c r="D97" s="142">
        <v>5391</v>
      </c>
      <c r="E97" s="67">
        <v>14341.28</v>
      </c>
      <c r="F97" s="81">
        <v>5102</v>
      </c>
      <c r="G97" s="67" t="str">
        <f>VLOOKUP(F97,CFOP[],2,FALSE)</f>
        <v xml:space="preserve">Venda de mercadoria adquirida ou recebida de terceiros </v>
      </c>
      <c r="H97" s="86" t="s">
        <v>561</v>
      </c>
      <c r="I97" s="69">
        <v>46003</v>
      </c>
      <c r="J97" s="66" t="s">
        <v>359</v>
      </c>
      <c r="K97" s="87"/>
      <c r="L97" s="66"/>
      <c r="M97" s="66"/>
    </row>
    <row r="98" spans="1:13" x14ac:dyDescent="0.3">
      <c r="A98" s="228">
        <v>1341</v>
      </c>
      <c r="B98" s="218" t="s">
        <v>562</v>
      </c>
      <c r="C98" s="152">
        <v>778.5</v>
      </c>
      <c r="D98" s="142">
        <v>5392</v>
      </c>
      <c r="E98" s="67">
        <v>778.5</v>
      </c>
      <c r="F98" s="81">
        <v>5102</v>
      </c>
      <c r="G98" s="67" t="str">
        <f>VLOOKUP(F98,CFOP[],2,FALSE)</f>
        <v xml:space="preserve">Venda de mercadoria adquirida ou recebida de terceiros </v>
      </c>
      <c r="H98" s="86" t="s">
        <v>563</v>
      </c>
      <c r="I98" s="69">
        <v>46007</v>
      </c>
      <c r="J98" s="66" t="s">
        <v>359</v>
      </c>
      <c r="K98" s="87"/>
      <c r="L98" s="66"/>
      <c r="M98" s="66"/>
    </row>
    <row r="99" spans="1:13" x14ac:dyDescent="0.3">
      <c r="A99" s="228">
        <v>1343</v>
      </c>
      <c r="B99" s="218" t="s">
        <v>528</v>
      </c>
      <c r="C99" s="152">
        <v>9344.06</v>
      </c>
      <c r="D99" s="142">
        <v>5393</v>
      </c>
      <c r="E99" s="67">
        <v>8454.06</v>
      </c>
      <c r="F99" s="81">
        <v>5102</v>
      </c>
      <c r="G99" s="67" t="str">
        <f>VLOOKUP(F99,CFOP[],2,FALSE)</f>
        <v xml:space="preserve">Venda de mercadoria adquirida ou recebida de terceiros </v>
      </c>
      <c r="H99" s="86" t="s">
        <v>564</v>
      </c>
      <c r="I99" s="69">
        <v>46008</v>
      </c>
      <c r="J99" s="66" t="s">
        <v>359</v>
      </c>
      <c r="K99" s="87"/>
      <c r="L99" s="66"/>
      <c r="M99" s="66"/>
    </row>
    <row r="100" spans="1:13" x14ac:dyDescent="0.3">
      <c r="A100" s="228">
        <v>1342</v>
      </c>
      <c r="B100" s="218" t="s">
        <v>447</v>
      </c>
      <c r="C100" s="152">
        <v>894.9</v>
      </c>
      <c r="D100" s="142">
        <v>5394</v>
      </c>
      <c r="E100" s="67">
        <v>894.9</v>
      </c>
      <c r="F100" s="81">
        <v>5102</v>
      </c>
      <c r="G100" s="67" t="str">
        <f>VLOOKUP(F100,CFOP[],2,FALSE)</f>
        <v xml:space="preserve">Venda de mercadoria adquirida ou recebida de terceiros </v>
      </c>
      <c r="H100" s="86" t="s">
        <v>565</v>
      </c>
      <c r="I100" s="69">
        <v>46008</v>
      </c>
      <c r="J100" s="66" t="s">
        <v>359</v>
      </c>
      <c r="K100" s="87"/>
      <c r="L100" s="66"/>
      <c r="M100" s="66"/>
    </row>
    <row r="101" spans="1:13" x14ac:dyDescent="0.3">
      <c r="A101" s="228">
        <v>1239</v>
      </c>
      <c r="B101" s="218" t="s">
        <v>432</v>
      </c>
      <c r="C101" s="152">
        <v>6461</v>
      </c>
      <c r="D101" s="142">
        <v>5395</v>
      </c>
      <c r="E101" s="67">
        <v>6461</v>
      </c>
      <c r="F101" s="81">
        <v>5102</v>
      </c>
      <c r="G101" s="67" t="str">
        <f>VLOOKUP(F101,CFOP[],2,FALSE)</f>
        <v xml:space="preserve">Venda de mercadoria adquirida ou recebida de terceiros </v>
      </c>
      <c r="H101" s="86" t="s">
        <v>566</v>
      </c>
      <c r="I101" s="69">
        <v>46008</v>
      </c>
      <c r="J101" s="66" t="s">
        <v>359</v>
      </c>
      <c r="K101" s="87"/>
      <c r="L101" s="66"/>
      <c r="M101" s="66"/>
    </row>
    <row r="102" spans="1:13" x14ac:dyDescent="0.3">
      <c r="A102" s="228">
        <v>1193</v>
      </c>
      <c r="B102" s="218" t="s">
        <v>501</v>
      </c>
      <c r="C102" s="152">
        <v>27710.5</v>
      </c>
      <c r="D102" s="142">
        <v>5396</v>
      </c>
      <c r="E102" s="67">
        <v>23420.5</v>
      </c>
      <c r="F102" s="81">
        <v>5102</v>
      </c>
      <c r="G102" s="67" t="str">
        <f>VLOOKUP(F102,CFOP[],2,FALSE)</f>
        <v xml:space="preserve">Venda de mercadoria adquirida ou recebida de terceiros </v>
      </c>
      <c r="H102" s="86" t="s">
        <v>567</v>
      </c>
      <c r="I102" s="69">
        <v>46009</v>
      </c>
      <c r="J102" s="66" t="s">
        <v>359</v>
      </c>
      <c r="K102" s="87"/>
      <c r="L102" s="66"/>
      <c r="M102" s="66"/>
    </row>
    <row r="103" spans="1:13" x14ac:dyDescent="0.3">
      <c r="A103" s="228">
        <v>1352</v>
      </c>
      <c r="B103" s="218" t="s">
        <v>568</v>
      </c>
      <c r="C103" s="152">
        <v>1540</v>
      </c>
      <c r="D103" s="142">
        <v>5397</v>
      </c>
      <c r="E103" s="67">
        <v>590</v>
      </c>
      <c r="F103" s="81">
        <v>5102</v>
      </c>
      <c r="G103" s="67" t="str">
        <f>VLOOKUP(F103,CFOP[],2,FALSE)</f>
        <v xml:space="preserve">Venda de mercadoria adquirida ou recebida de terceiros </v>
      </c>
      <c r="H103" s="86" t="s">
        <v>569</v>
      </c>
      <c r="I103" s="69">
        <v>46009</v>
      </c>
      <c r="J103" s="66" t="s">
        <v>359</v>
      </c>
      <c r="K103" s="87"/>
      <c r="L103" s="66"/>
      <c r="M103" s="66"/>
    </row>
    <row r="104" spans="1:13" x14ac:dyDescent="0.3">
      <c r="A104" s="228">
        <v>1327</v>
      </c>
      <c r="B104" s="218" t="s">
        <v>467</v>
      </c>
      <c r="C104" s="152">
        <v>2328</v>
      </c>
      <c r="D104" s="142">
        <v>5398</v>
      </c>
      <c r="E104" s="67">
        <v>2328</v>
      </c>
      <c r="F104" s="81">
        <v>5102</v>
      </c>
      <c r="G104" s="67" t="str">
        <f>VLOOKUP(F104,CFOP[],2,FALSE)</f>
        <v xml:space="preserve">Venda de mercadoria adquirida ou recebida de terceiros </v>
      </c>
      <c r="H104" s="86" t="s">
        <v>570</v>
      </c>
      <c r="I104" s="69">
        <v>46009</v>
      </c>
      <c r="J104" s="66" t="s">
        <v>359</v>
      </c>
      <c r="K104" s="87"/>
      <c r="L104" s="66"/>
      <c r="M104" s="66"/>
    </row>
    <row r="105" spans="1:13" x14ac:dyDescent="0.3">
      <c r="A105" s="228">
        <v>1234</v>
      </c>
      <c r="B105" s="218" t="s">
        <v>438</v>
      </c>
      <c r="C105" s="152">
        <v>3902.5</v>
      </c>
      <c r="D105" s="142">
        <v>5399</v>
      </c>
      <c r="E105" s="67">
        <v>3902.5</v>
      </c>
      <c r="F105" s="81">
        <v>5102</v>
      </c>
      <c r="G105" s="67" t="str">
        <f>VLOOKUP(F105,CFOP[],2,FALSE)</f>
        <v xml:space="preserve">Venda de mercadoria adquirida ou recebida de terceiros </v>
      </c>
      <c r="H105" s="86" t="s">
        <v>571</v>
      </c>
      <c r="I105" s="69">
        <v>46009</v>
      </c>
      <c r="J105" s="66" t="s">
        <v>359</v>
      </c>
      <c r="K105" s="87"/>
      <c r="L105" s="66"/>
      <c r="M105" s="66"/>
    </row>
    <row r="106" spans="1:13" x14ac:dyDescent="0.3">
      <c r="A106" s="228">
        <v>1172</v>
      </c>
      <c r="B106" s="218" t="s">
        <v>572</v>
      </c>
      <c r="C106" s="152">
        <v>1945</v>
      </c>
      <c r="D106" s="142">
        <v>5400</v>
      </c>
      <c r="E106" s="67">
        <v>995</v>
      </c>
      <c r="F106" s="81">
        <v>5102</v>
      </c>
      <c r="G106" s="67" t="str">
        <f>VLOOKUP(F106,CFOP[],2,FALSE)</f>
        <v xml:space="preserve">Venda de mercadoria adquirida ou recebida de terceiros </v>
      </c>
      <c r="H106" s="86" t="s">
        <v>573</v>
      </c>
      <c r="I106" s="69">
        <v>46010</v>
      </c>
      <c r="J106" s="66" t="s">
        <v>359</v>
      </c>
      <c r="K106" s="87"/>
      <c r="L106" s="66"/>
      <c r="M106" s="66"/>
    </row>
    <row r="107" spans="1:13" x14ac:dyDescent="0.3">
      <c r="A107" s="228">
        <v>1293</v>
      </c>
      <c r="B107" s="218" t="s">
        <v>574</v>
      </c>
      <c r="C107" s="152">
        <v>1068</v>
      </c>
      <c r="D107" s="142">
        <v>5401</v>
      </c>
      <c r="E107" s="67">
        <v>178</v>
      </c>
      <c r="F107" s="81">
        <v>5102</v>
      </c>
      <c r="G107" s="67" t="str">
        <f>VLOOKUP(F107,CFOP[],2,FALSE)</f>
        <v xml:space="preserve">Venda de mercadoria adquirida ou recebida de terceiros </v>
      </c>
      <c r="H107" s="86" t="s">
        <v>575</v>
      </c>
      <c r="I107" s="69">
        <v>46010</v>
      </c>
      <c r="J107" s="66" t="s">
        <v>359</v>
      </c>
      <c r="K107" s="87"/>
      <c r="L107" s="66"/>
      <c r="M107" s="66"/>
    </row>
    <row r="108" spans="1:13" x14ac:dyDescent="0.3">
      <c r="A108" s="228">
        <v>1370</v>
      </c>
      <c r="B108" s="218" t="s">
        <v>470</v>
      </c>
      <c r="C108" s="152">
        <v>630</v>
      </c>
      <c r="D108" s="141">
        <v>5402</v>
      </c>
      <c r="E108" s="67">
        <v>630</v>
      </c>
      <c r="F108" s="81">
        <v>5102</v>
      </c>
      <c r="G108" s="67" t="str">
        <f>VLOOKUP(F108,CFOP[],2,FALSE)</f>
        <v xml:space="preserve">Venda de mercadoria adquirida ou recebida de terceiros </v>
      </c>
      <c r="H108" s="84" t="s">
        <v>381</v>
      </c>
      <c r="I108" s="69">
        <v>46036</v>
      </c>
      <c r="J108" s="66" t="s">
        <v>359</v>
      </c>
      <c r="K108" s="87"/>
      <c r="L108" s="66" t="s">
        <v>12</v>
      </c>
      <c r="M108" s="66" t="s">
        <v>12</v>
      </c>
    </row>
    <row r="109" spans="1:13" x14ac:dyDescent="0.3">
      <c r="A109" s="228">
        <v>1223</v>
      </c>
      <c r="B109" s="218" t="s">
        <v>715</v>
      </c>
      <c r="C109" s="152">
        <v>2721.2</v>
      </c>
      <c r="D109" s="141">
        <v>5403</v>
      </c>
      <c r="E109" s="67">
        <v>2721.2</v>
      </c>
      <c r="F109" s="81">
        <v>5102</v>
      </c>
      <c r="G109" s="67" t="str">
        <f>VLOOKUP(F109,CFOP[],2,FALSE)</f>
        <v xml:space="preserve">Venda de mercadoria adquirida ou recebida de terceiros </v>
      </c>
      <c r="H109" s="84" t="s">
        <v>382</v>
      </c>
      <c r="I109" s="69">
        <v>46036</v>
      </c>
      <c r="J109" s="66" t="s">
        <v>359</v>
      </c>
      <c r="K109" s="87"/>
      <c r="L109" s="66" t="s">
        <v>12</v>
      </c>
      <c r="M109" s="66" t="s">
        <v>12</v>
      </c>
    </row>
    <row r="110" spans="1:13" x14ac:dyDescent="0.3">
      <c r="A110" s="228">
        <v>1174</v>
      </c>
      <c r="B110" s="218" t="s">
        <v>591</v>
      </c>
      <c r="C110" s="152">
        <v>2243.6</v>
      </c>
      <c r="D110" s="141">
        <v>5404</v>
      </c>
      <c r="E110" s="67">
        <v>1353.6</v>
      </c>
      <c r="F110" s="81">
        <v>5102</v>
      </c>
      <c r="G110" s="67" t="str">
        <f>VLOOKUP(F110,CFOP[],2,FALSE)</f>
        <v xml:space="preserve">Venda de mercadoria adquirida ou recebida de terceiros </v>
      </c>
      <c r="H110" s="84" t="s">
        <v>383</v>
      </c>
      <c r="I110" s="69">
        <v>46037</v>
      </c>
      <c r="J110" s="66" t="s">
        <v>359</v>
      </c>
      <c r="K110" s="87"/>
      <c r="L110" s="66" t="s">
        <v>12</v>
      </c>
      <c r="M110" s="66" t="s">
        <v>12</v>
      </c>
    </row>
    <row r="111" spans="1:13" x14ac:dyDescent="0.3">
      <c r="A111" s="228" t="s">
        <v>15</v>
      </c>
      <c r="B111" s="218" t="s">
        <v>425</v>
      </c>
      <c r="C111" s="152">
        <v>27580</v>
      </c>
      <c r="D111" s="141">
        <v>5405</v>
      </c>
      <c r="E111" s="67">
        <v>27580</v>
      </c>
      <c r="F111" s="81">
        <v>5901</v>
      </c>
      <c r="G111" s="67" t="str">
        <f>VLOOKUP(F111,CFOP[],2,FALSE)</f>
        <v xml:space="preserve">Remessa para industrialização por encomenda </v>
      </c>
      <c r="H111" s="84" t="s">
        <v>384</v>
      </c>
      <c r="I111" s="69">
        <v>46052</v>
      </c>
      <c r="J111" s="66" t="s">
        <v>359</v>
      </c>
      <c r="K111" s="87" t="s">
        <v>298</v>
      </c>
      <c r="L111" s="66" t="s">
        <v>12</v>
      </c>
      <c r="M111" s="66" t="s">
        <v>12</v>
      </c>
    </row>
    <row r="112" spans="1:13" x14ac:dyDescent="0.3">
      <c r="A112" s="228" t="s">
        <v>15</v>
      </c>
      <c r="B112" s="218" t="s">
        <v>425</v>
      </c>
      <c r="C112" s="152">
        <v>4188.8</v>
      </c>
      <c r="D112" s="141">
        <v>5406</v>
      </c>
      <c r="E112" s="67">
        <v>4188.8</v>
      </c>
      <c r="F112" s="81">
        <v>5901</v>
      </c>
      <c r="G112" s="67" t="str">
        <f>VLOOKUP(F112,CFOP[],2,FALSE)</f>
        <v xml:space="preserve">Remessa para industrialização por encomenda </v>
      </c>
      <c r="H112" s="84" t="s">
        <v>385</v>
      </c>
      <c r="I112" s="69">
        <v>46052</v>
      </c>
      <c r="J112" s="66" t="s">
        <v>359</v>
      </c>
      <c r="K112" s="87" t="s">
        <v>298</v>
      </c>
      <c r="L112" s="66" t="s">
        <v>12</v>
      </c>
      <c r="M112" s="66" t="s">
        <v>12</v>
      </c>
    </row>
    <row r="113" spans="1:13" x14ac:dyDescent="0.3">
      <c r="A113" s="228">
        <v>1278</v>
      </c>
      <c r="B113" s="218" t="s">
        <v>528</v>
      </c>
      <c r="C113" s="152">
        <v>1290.4000000000001</v>
      </c>
      <c r="D113" s="141">
        <v>5407</v>
      </c>
      <c r="E113" s="67">
        <v>1290.4000000000001</v>
      </c>
      <c r="F113" s="81">
        <v>5102</v>
      </c>
      <c r="G113" s="67" t="str">
        <f>VLOOKUP(F113,CFOP[],2,FALSE)</f>
        <v xml:space="preserve">Venda de mercadoria adquirida ou recebida de terceiros </v>
      </c>
      <c r="H113" s="84" t="s">
        <v>386</v>
      </c>
      <c r="I113" s="69">
        <v>46038</v>
      </c>
      <c r="J113" s="66" t="s">
        <v>359</v>
      </c>
      <c r="K113" s="87" t="s">
        <v>179</v>
      </c>
      <c r="L113" s="66" t="s">
        <v>12</v>
      </c>
      <c r="M113" s="66" t="s">
        <v>12</v>
      </c>
    </row>
    <row r="114" spans="1:13" x14ac:dyDescent="0.3">
      <c r="A114" s="228">
        <v>1323</v>
      </c>
      <c r="B114" s="218" t="s">
        <v>512</v>
      </c>
      <c r="C114" s="152">
        <v>2100</v>
      </c>
      <c r="D114" s="141">
        <v>5408</v>
      </c>
      <c r="E114" s="67">
        <v>1650</v>
      </c>
      <c r="F114" s="81">
        <v>5102</v>
      </c>
      <c r="G114" s="67" t="str">
        <f>VLOOKUP(F114,CFOP[],2,FALSE)</f>
        <v xml:space="preserve">Venda de mercadoria adquirida ou recebida de terceiros </v>
      </c>
      <c r="H114" s="84" t="s">
        <v>387</v>
      </c>
      <c r="I114" s="69">
        <v>46041</v>
      </c>
      <c r="J114" s="66" t="s">
        <v>359</v>
      </c>
      <c r="K114" s="87"/>
      <c r="L114" s="66" t="s">
        <v>12</v>
      </c>
      <c r="M114" s="66" t="s">
        <v>12</v>
      </c>
    </row>
    <row r="115" spans="1:13" x14ac:dyDescent="0.3">
      <c r="A115" s="228">
        <v>1130</v>
      </c>
      <c r="B115" s="218" t="s">
        <v>512</v>
      </c>
      <c r="C115" s="152">
        <v>6763</v>
      </c>
      <c r="D115" s="141">
        <v>5409</v>
      </c>
      <c r="E115" s="67">
        <v>3073</v>
      </c>
      <c r="F115" s="81">
        <v>5102</v>
      </c>
      <c r="G115" s="67" t="str">
        <f>VLOOKUP(F115,CFOP[],2,FALSE)</f>
        <v xml:space="preserve">Venda de mercadoria adquirida ou recebida de terceiros </v>
      </c>
      <c r="H115" s="84" t="s">
        <v>388</v>
      </c>
      <c r="I115" s="69">
        <v>46041</v>
      </c>
      <c r="J115" s="66" t="s">
        <v>359</v>
      </c>
      <c r="K115" s="87"/>
      <c r="L115" s="66" t="s">
        <v>12</v>
      </c>
      <c r="M115" s="66" t="s">
        <v>12</v>
      </c>
    </row>
    <row r="116" spans="1:13" x14ac:dyDescent="0.3">
      <c r="A116" s="228">
        <v>916</v>
      </c>
      <c r="B116" s="218" t="s">
        <v>712</v>
      </c>
      <c r="C116" s="152">
        <v>24146.1</v>
      </c>
      <c r="D116" s="141">
        <v>5410</v>
      </c>
      <c r="E116" s="67">
        <v>13006.1</v>
      </c>
      <c r="F116" s="81">
        <v>5102</v>
      </c>
      <c r="G116" s="67" t="str">
        <f>VLOOKUP(F116,CFOP[],2,FALSE)</f>
        <v xml:space="preserve">Venda de mercadoria adquirida ou recebida de terceiros </v>
      </c>
      <c r="H116" s="84" t="s">
        <v>389</v>
      </c>
      <c r="I116" s="69">
        <v>46041</v>
      </c>
      <c r="J116" s="66" t="s">
        <v>359</v>
      </c>
      <c r="K116" s="87"/>
      <c r="L116" s="66" t="s">
        <v>12</v>
      </c>
      <c r="M116" s="66" t="s">
        <v>12</v>
      </c>
    </row>
    <row r="117" spans="1:13" x14ac:dyDescent="0.3">
      <c r="A117" s="228">
        <v>984</v>
      </c>
      <c r="B117" s="218" t="s">
        <v>547</v>
      </c>
      <c r="C117" s="152">
        <v>19700</v>
      </c>
      <c r="D117" s="141">
        <v>5411</v>
      </c>
      <c r="E117" s="67">
        <v>12410</v>
      </c>
      <c r="F117" s="81">
        <v>6102</v>
      </c>
      <c r="G117" s="67" t="str">
        <f>VLOOKUP(F117,CFOP[],2,FALSE)</f>
        <v xml:space="preserve">Venda de mercadoria adquirida ou recebida de terceiros </v>
      </c>
      <c r="H117" s="84" t="s">
        <v>390</v>
      </c>
      <c r="I117" s="69">
        <v>46042</v>
      </c>
      <c r="J117" s="66" t="s">
        <v>359</v>
      </c>
      <c r="K117" s="87"/>
      <c r="L117" s="66" t="s">
        <v>12</v>
      </c>
      <c r="M117" s="66" t="s">
        <v>12</v>
      </c>
    </row>
    <row r="118" spans="1:13" x14ac:dyDescent="0.3">
      <c r="A118" s="228">
        <v>866</v>
      </c>
      <c r="B118" s="218" t="s">
        <v>207</v>
      </c>
      <c r="C118" s="152">
        <v>33440</v>
      </c>
      <c r="D118" s="141">
        <v>5412</v>
      </c>
      <c r="E118" s="67">
        <v>22220</v>
      </c>
      <c r="F118" s="81">
        <v>6102</v>
      </c>
      <c r="G118" s="67" t="str">
        <f>VLOOKUP(F118,CFOP[],2,FALSE)</f>
        <v xml:space="preserve">Venda de mercadoria adquirida ou recebida de terceiros </v>
      </c>
      <c r="H118" s="84" t="s">
        <v>391</v>
      </c>
      <c r="I118" s="69">
        <v>46042</v>
      </c>
      <c r="J118" s="66" t="s">
        <v>359</v>
      </c>
      <c r="K118" s="87"/>
      <c r="L118" s="66" t="s">
        <v>12</v>
      </c>
      <c r="M118" s="66" t="s">
        <v>12</v>
      </c>
    </row>
    <row r="119" spans="1:13" x14ac:dyDescent="0.3">
      <c r="A119" s="228">
        <v>1413</v>
      </c>
      <c r="B119" s="218" t="s">
        <v>601</v>
      </c>
      <c r="C119" s="152">
        <v>930</v>
      </c>
      <c r="D119" s="141">
        <v>5413</v>
      </c>
      <c r="E119" s="67">
        <v>930</v>
      </c>
      <c r="F119" s="81">
        <v>5102</v>
      </c>
      <c r="G119" s="67" t="str">
        <f>VLOOKUP(F119,CFOP[],2,FALSE)</f>
        <v xml:space="preserve">Venda de mercadoria adquirida ou recebida de terceiros </v>
      </c>
      <c r="H119" s="84" t="s">
        <v>392</v>
      </c>
      <c r="I119" s="69">
        <v>46044</v>
      </c>
      <c r="J119" s="66" t="s">
        <v>359</v>
      </c>
      <c r="K119" s="87"/>
      <c r="L119" s="66" t="s">
        <v>12</v>
      </c>
      <c r="M119" s="66" t="s">
        <v>12</v>
      </c>
    </row>
    <row r="120" spans="1:13" x14ac:dyDescent="0.3">
      <c r="A120" s="228">
        <v>1412</v>
      </c>
      <c r="B120" s="218" t="s">
        <v>611</v>
      </c>
      <c r="C120" s="152">
        <v>4299</v>
      </c>
      <c r="D120" s="141">
        <v>5414</v>
      </c>
      <c r="E120" s="67">
        <v>2519</v>
      </c>
      <c r="F120" s="81">
        <v>5102</v>
      </c>
      <c r="G120" s="67" t="str">
        <f>VLOOKUP(F120,CFOP[],2,FALSE)</f>
        <v xml:space="preserve">Venda de mercadoria adquirida ou recebida de terceiros </v>
      </c>
      <c r="H120" s="84" t="s">
        <v>393</v>
      </c>
      <c r="I120" s="69">
        <v>46044</v>
      </c>
      <c r="J120" s="66" t="s">
        <v>359</v>
      </c>
      <c r="K120" s="87"/>
      <c r="L120" s="66" t="s">
        <v>12</v>
      </c>
      <c r="M120" s="66" t="s">
        <v>12</v>
      </c>
    </row>
    <row r="121" spans="1:13" x14ac:dyDescent="0.3">
      <c r="A121" s="228">
        <v>1292</v>
      </c>
      <c r="B121" s="218" t="s">
        <v>613</v>
      </c>
      <c r="C121" s="152">
        <v>3735</v>
      </c>
      <c r="D121" s="141">
        <v>5415</v>
      </c>
      <c r="E121" s="67">
        <v>2445.42</v>
      </c>
      <c r="F121" s="81">
        <v>5102</v>
      </c>
      <c r="G121" s="67" t="str">
        <f>VLOOKUP(F121,CFOP[],2,FALSE)</f>
        <v xml:space="preserve">Venda de mercadoria adquirida ou recebida de terceiros </v>
      </c>
      <c r="H121" s="84" t="s">
        <v>394</v>
      </c>
      <c r="I121" s="69">
        <v>46045</v>
      </c>
      <c r="J121" s="66" t="s">
        <v>359</v>
      </c>
      <c r="K121" s="87"/>
      <c r="L121" s="66" t="s">
        <v>12</v>
      </c>
      <c r="M121" s="66" t="s">
        <v>12</v>
      </c>
    </row>
    <row r="122" spans="1:13" x14ac:dyDescent="0.3">
      <c r="A122" s="228">
        <v>1409</v>
      </c>
      <c r="B122" s="218" t="s">
        <v>577</v>
      </c>
      <c r="C122" s="152">
        <v>3874.5</v>
      </c>
      <c r="D122" s="141">
        <v>5416</v>
      </c>
      <c r="E122" s="67">
        <v>1244.5</v>
      </c>
      <c r="F122" s="81">
        <v>6102</v>
      </c>
      <c r="G122" s="67" t="str">
        <f>VLOOKUP(F122,CFOP[],2,FALSE)</f>
        <v xml:space="preserve">Venda de mercadoria adquirida ou recebida de terceiros </v>
      </c>
      <c r="H122" s="84" t="s">
        <v>395</v>
      </c>
      <c r="I122" s="69">
        <v>46048</v>
      </c>
      <c r="J122" s="66" t="s">
        <v>359</v>
      </c>
      <c r="K122" s="87"/>
      <c r="L122" s="66" t="s">
        <v>12</v>
      </c>
      <c r="M122" s="66" t="s">
        <v>12</v>
      </c>
    </row>
    <row r="123" spans="1:13" x14ac:dyDescent="0.3">
      <c r="A123" s="228" t="s">
        <v>15</v>
      </c>
      <c r="B123" s="218" t="s">
        <v>576</v>
      </c>
      <c r="C123" s="152">
        <v>9520</v>
      </c>
      <c r="D123" s="141">
        <v>5417</v>
      </c>
      <c r="E123" s="67">
        <v>9520</v>
      </c>
      <c r="F123" s="81">
        <v>5901</v>
      </c>
      <c r="G123" s="67" t="str">
        <f>VLOOKUP(F123,CFOP[],2,FALSE)</f>
        <v xml:space="preserve">Remessa para industrialização por encomenda </v>
      </c>
      <c r="H123" s="84" t="s">
        <v>396</v>
      </c>
      <c r="I123" s="69">
        <v>46048</v>
      </c>
      <c r="J123" s="66" t="s">
        <v>359</v>
      </c>
      <c r="K123" s="87" t="s">
        <v>298</v>
      </c>
      <c r="L123" s="66" t="s">
        <v>12</v>
      </c>
      <c r="M123" s="66" t="s">
        <v>12</v>
      </c>
    </row>
    <row r="124" spans="1:13" x14ac:dyDescent="0.3">
      <c r="A124" s="228">
        <v>1394</v>
      </c>
      <c r="B124" s="218" t="s">
        <v>432</v>
      </c>
      <c r="C124" s="152">
        <v>2494.1</v>
      </c>
      <c r="D124" s="141">
        <v>5418</v>
      </c>
      <c r="E124" s="67">
        <v>2494.1</v>
      </c>
      <c r="F124" s="81">
        <v>5102</v>
      </c>
      <c r="G124" s="67" t="str">
        <f>VLOOKUP(F124,CFOP[],2,FALSE)</f>
        <v xml:space="preserve">Venda de mercadoria adquirida ou recebida de terceiros </v>
      </c>
      <c r="H124" s="84" t="s">
        <v>397</v>
      </c>
      <c r="I124" s="69">
        <v>46048</v>
      </c>
      <c r="J124" s="66" t="s">
        <v>359</v>
      </c>
      <c r="K124" s="87"/>
      <c r="L124" s="66" t="s">
        <v>12</v>
      </c>
      <c r="M124" s="66" t="s">
        <v>12</v>
      </c>
    </row>
    <row r="125" spans="1:13" x14ac:dyDescent="0.3">
      <c r="A125" s="228">
        <v>1346</v>
      </c>
      <c r="B125" s="218" t="s">
        <v>591</v>
      </c>
      <c r="C125" s="152">
        <v>2246</v>
      </c>
      <c r="D125" s="141">
        <v>5419</v>
      </c>
      <c r="E125" s="67">
        <v>1356</v>
      </c>
      <c r="F125" s="81">
        <v>5949</v>
      </c>
      <c r="G125" s="67" t="str">
        <f>VLOOKUP(F125,CFOP[],2,FALSE)</f>
        <v xml:space="preserve">Outra saída de mercadoria ou prestação de serviço não especificado </v>
      </c>
      <c r="H125" s="84" t="s">
        <v>398</v>
      </c>
      <c r="I125" s="69">
        <v>46049</v>
      </c>
      <c r="J125" s="66" t="s">
        <v>57</v>
      </c>
      <c r="K125" s="87"/>
      <c r="L125" s="66" t="s">
        <v>12</v>
      </c>
      <c r="M125" s="66" t="s">
        <v>12</v>
      </c>
    </row>
    <row r="126" spans="1:13" x14ac:dyDescent="0.3">
      <c r="A126" s="228">
        <v>1436</v>
      </c>
      <c r="B126" s="218" t="s">
        <v>577</v>
      </c>
      <c r="C126" s="152">
        <v>620.4</v>
      </c>
      <c r="D126" s="141">
        <v>5420</v>
      </c>
      <c r="E126" s="67">
        <v>620.4</v>
      </c>
      <c r="F126" s="81">
        <v>6102</v>
      </c>
      <c r="G126" s="67" t="str">
        <f>VLOOKUP(F126,CFOP[],2,FALSE)</f>
        <v xml:space="preserve">Venda de mercadoria adquirida ou recebida de terceiros </v>
      </c>
      <c r="H126" s="84" t="s">
        <v>399</v>
      </c>
      <c r="I126" s="69">
        <v>46049</v>
      </c>
      <c r="J126" s="66" t="s">
        <v>359</v>
      </c>
      <c r="K126" s="87"/>
      <c r="L126" s="66" t="s">
        <v>12</v>
      </c>
      <c r="M126" s="66" t="s">
        <v>12</v>
      </c>
    </row>
    <row r="127" spans="1:13" x14ac:dyDescent="0.3">
      <c r="A127" s="228">
        <v>1346</v>
      </c>
      <c r="B127" s="218" t="s">
        <v>591</v>
      </c>
      <c r="C127" s="152">
        <v>2246</v>
      </c>
      <c r="D127" s="141">
        <v>5421</v>
      </c>
      <c r="E127" s="67">
        <v>1356</v>
      </c>
      <c r="F127" s="81">
        <v>5102</v>
      </c>
      <c r="G127" s="67" t="str">
        <f>VLOOKUP(F127,CFOP[],2,FALSE)</f>
        <v xml:space="preserve">Venda de mercadoria adquirida ou recebida de terceiros </v>
      </c>
      <c r="H127" s="84" t="s">
        <v>400</v>
      </c>
      <c r="I127" s="69">
        <v>46049</v>
      </c>
      <c r="J127" s="66" t="s">
        <v>359</v>
      </c>
      <c r="K127" s="87"/>
      <c r="L127" s="66" t="s">
        <v>12</v>
      </c>
      <c r="M127" s="66" t="s">
        <v>12</v>
      </c>
    </row>
    <row r="128" spans="1:13" x14ac:dyDescent="0.3">
      <c r="A128" s="228" t="s">
        <v>15</v>
      </c>
      <c r="B128" s="218" t="s">
        <v>718</v>
      </c>
      <c r="C128" s="152">
        <v>16355</v>
      </c>
      <c r="D128" s="141">
        <v>5422</v>
      </c>
      <c r="E128" s="67">
        <v>16355</v>
      </c>
      <c r="F128" s="81">
        <v>5949</v>
      </c>
      <c r="G128" s="67" t="str">
        <f>VLOOKUP(F128,CFOP[],2,FALSE)</f>
        <v xml:space="preserve">Outra saída de mercadoria ou prestação de serviço não especificado </v>
      </c>
      <c r="H128" s="84" t="s">
        <v>401</v>
      </c>
      <c r="I128" s="69">
        <v>46050</v>
      </c>
      <c r="J128" s="66" t="s">
        <v>359</v>
      </c>
      <c r="K128" s="87"/>
      <c r="L128" s="66" t="s">
        <v>12</v>
      </c>
      <c r="M128" s="66" t="s">
        <v>12</v>
      </c>
    </row>
    <row r="129" spans="1:13" x14ac:dyDescent="0.3">
      <c r="A129" s="228">
        <v>1334</v>
      </c>
      <c r="B129" s="218" t="s">
        <v>622</v>
      </c>
      <c r="C129" s="152">
        <v>2689.79</v>
      </c>
      <c r="D129" s="141">
        <v>5423</v>
      </c>
      <c r="E129" s="67">
        <v>189.79</v>
      </c>
      <c r="F129" s="81">
        <v>6102</v>
      </c>
      <c r="G129" s="67" t="str">
        <f>VLOOKUP(F129,CFOP[],2,FALSE)</f>
        <v xml:space="preserve">Venda de mercadoria adquirida ou recebida de terceiros </v>
      </c>
      <c r="H129" s="84" t="s">
        <v>402</v>
      </c>
      <c r="I129" s="69">
        <v>46050</v>
      </c>
      <c r="J129" s="66" t="s">
        <v>359</v>
      </c>
      <c r="K129" s="87"/>
      <c r="L129" s="66" t="s">
        <v>12</v>
      </c>
      <c r="M129" s="66" t="s">
        <v>12</v>
      </c>
    </row>
    <row r="130" spans="1:13" x14ac:dyDescent="0.3">
      <c r="A130" s="228" t="s">
        <v>15</v>
      </c>
      <c r="B130" s="218" t="s">
        <v>576</v>
      </c>
      <c r="C130" s="152">
        <v>8770</v>
      </c>
      <c r="D130" s="141">
        <v>5424</v>
      </c>
      <c r="E130" s="67">
        <v>8770</v>
      </c>
      <c r="F130" s="81">
        <v>5901</v>
      </c>
      <c r="G130" s="67" t="str">
        <f>VLOOKUP(F130,CFOP[],2,FALSE)</f>
        <v xml:space="preserve">Remessa para industrialização por encomenda </v>
      </c>
      <c r="H130" s="84" t="s">
        <v>403</v>
      </c>
      <c r="I130" s="69">
        <v>46051</v>
      </c>
      <c r="J130" s="66" t="s">
        <v>359</v>
      </c>
      <c r="K130" s="87"/>
      <c r="L130" s="66" t="s">
        <v>12</v>
      </c>
      <c r="M130" s="66" t="s">
        <v>12</v>
      </c>
    </row>
    <row r="131" spans="1:13" x14ac:dyDescent="0.3">
      <c r="A131" s="228" t="s">
        <v>15</v>
      </c>
      <c r="B131" s="218" t="s">
        <v>576</v>
      </c>
      <c r="C131" s="152">
        <v>7170</v>
      </c>
      <c r="D131" s="141">
        <v>5425</v>
      </c>
      <c r="E131" s="67">
        <v>7170</v>
      </c>
      <c r="F131" s="81">
        <v>5901</v>
      </c>
      <c r="G131" s="67" t="str">
        <f>VLOOKUP(F131,CFOP[],2,FALSE)</f>
        <v xml:space="preserve">Remessa para industrialização por encomenda </v>
      </c>
      <c r="H131" s="84" t="s">
        <v>404</v>
      </c>
      <c r="I131" s="69">
        <v>46051</v>
      </c>
      <c r="J131" s="66" t="s">
        <v>359</v>
      </c>
      <c r="K131" s="87"/>
      <c r="L131" s="66" t="s">
        <v>12</v>
      </c>
      <c r="M131" s="66" t="s">
        <v>12</v>
      </c>
    </row>
    <row r="132" spans="1:13" x14ac:dyDescent="0.3">
      <c r="A132" s="228" t="s">
        <v>15</v>
      </c>
      <c r="B132" s="218" t="s">
        <v>576</v>
      </c>
      <c r="C132" s="152">
        <v>7170</v>
      </c>
      <c r="D132" s="141">
        <v>5426</v>
      </c>
      <c r="E132" s="67">
        <v>7170</v>
      </c>
      <c r="F132" s="81">
        <v>5901</v>
      </c>
      <c r="G132" s="67" t="str">
        <f>VLOOKUP(F132,CFOP[],2,FALSE)</f>
        <v xml:space="preserve">Remessa para industrialização por encomenda </v>
      </c>
      <c r="H132" s="84" t="s">
        <v>405</v>
      </c>
      <c r="I132" s="69">
        <v>46051</v>
      </c>
      <c r="J132" s="66" t="s">
        <v>359</v>
      </c>
      <c r="K132" s="87"/>
      <c r="L132" s="66" t="s">
        <v>12</v>
      </c>
      <c r="M132" s="66" t="s">
        <v>12</v>
      </c>
    </row>
    <row r="133" spans="1:13" ht="17.25" customHeight="1" x14ac:dyDescent="0.3">
      <c r="A133" s="228">
        <v>1172</v>
      </c>
      <c r="B133" s="218" t="s">
        <v>572</v>
      </c>
      <c r="C133" s="152">
        <v>1945</v>
      </c>
      <c r="D133" s="141">
        <v>5427</v>
      </c>
      <c r="E133" s="67">
        <v>995</v>
      </c>
      <c r="F133" s="81">
        <v>1201</v>
      </c>
      <c r="G133" s="67" t="str">
        <f>VLOOKUP(F133,CFOP[],2,FALSE)</f>
        <v xml:space="preserve">Devolução de venda de produção do estabelecimento </v>
      </c>
      <c r="H133" s="84" t="s">
        <v>406</v>
      </c>
      <c r="I133" s="69">
        <v>46051</v>
      </c>
      <c r="J133" s="66" t="s">
        <v>359</v>
      </c>
      <c r="K133" s="87" t="s">
        <v>323</v>
      </c>
      <c r="L133" s="66" t="s">
        <v>12</v>
      </c>
      <c r="M133" s="66" t="s">
        <v>12</v>
      </c>
    </row>
    <row r="134" spans="1:13" x14ac:dyDescent="0.3">
      <c r="A134" s="228">
        <v>1293</v>
      </c>
      <c r="B134" s="218" t="s">
        <v>574</v>
      </c>
      <c r="C134" s="152">
        <v>1068</v>
      </c>
      <c r="D134" s="141">
        <v>5428</v>
      </c>
      <c r="E134" s="67">
        <v>178</v>
      </c>
      <c r="F134" s="81">
        <v>1201</v>
      </c>
      <c r="G134" s="67" t="str">
        <f>VLOOKUP(F134,CFOP[],2,FALSE)</f>
        <v xml:space="preserve">Devolução de venda de produção do estabelecimento </v>
      </c>
      <c r="H134" s="84" t="s">
        <v>407</v>
      </c>
      <c r="I134" s="69">
        <v>46051</v>
      </c>
      <c r="J134" s="66" t="s">
        <v>359</v>
      </c>
      <c r="K134" s="87" t="s">
        <v>322</v>
      </c>
      <c r="L134" s="66" t="s">
        <v>12</v>
      </c>
      <c r="M134" s="66" t="s">
        <v>12</v>
      </c>
    </row>
    <row r="135" spans="1:13" x14ac:dyDescent="0.3">
      <c r="A135" s="228" t="s">
        <v>15</v>
      </c>
      <c r="B135" s="218" t="s">
        <v>607</v>
      </c>
      <c r="C135" s="152">
        <v>1365</v>
      </c>
      <c r="D135" s="141">
        <v>5429</v>
      </c>
      <c r="E135" s="67">
        <v>1365</v>
      </c>
      <c r="F135" s="81">
        <v>6901</v>
      </c>
      <c r="G135" s="67" t="str">
        <f>VLOOKUP(F135,CFOP[],2,FALSE)</f>
        <v xml:space="preserve">Remessa para industrialização por encomenda </v>
      </c>
      <c r="H135" s="84" t="s">
        <v>408</v>
      </c>
      <c r="I135" s="69">
        <v>46051</v>
      </c>
      <c r="J135" s="66" t="s">
        <v>359</v>
      </c>
      <c r="K135" s="87" t="s">
        <v>843</v>
      </c>
      <c r="L135" s="66" t="s">
        <v>12</v>
      </c>
      <c r="M135" s="66" t="s">
        <v>12</v>
      </c>
    </row>
    <row r="136" spans="1:13" x14ac:dyDescent="0.3">
      <c r="A136" s="228">
        <v>1431</v>
      </c>
      <c r="B136" s="218" t="s">
        <v>609</v>
      </c>
      <c r="C136" s="152">
        <v>2188.4499999999998</v>
      </c>
      <c r="D136" s="141">
        <v>5430</v>
      </c>
      <c r="E136" s="67">
        <v>1377.45</v>
      </c>
      <c r="F136" s="81">
        <v>5102</v>
      </c>
      <c r="G136" s="67" t="str">
        <f>VLOOKUP(F136,CFOP[],2,FALSE)</f>
        <v xml:space="preserve">Venda de mercadoria adquirida ou recebida de terceiros </v>
      </c>
      <c r="H136" s="84" t="s">
        <v>409</v>
      </c>
      <c r="I136" s="69">
        <v>46052</v>
      </c>
      <c r="J136" s="66" t="s">
        <v>359</v>
      </c>
      <c r="K136" s="87"/>
      <c r="L136" s="66" t="s">
        <v>12</v>
      </c>
      <c r="M136" s="66" t="s">
        <v>12</v>
      </c>
    </row>
    <row r="137" spans="1:13" x14ac:dyDescent="0.3">
      <c r="A137" s="228">
        <v>1336</v>
      </c>
      <c r="B137" s="218" t="s">
        <v>713</v>
      </c>
      <c r="C137" s="152">
        <v>11806</v>
      </c>
      <c r="D137" s="141">
        <v>5431</v>
      </c>
      <c r="E137" s="67">
        <v>7996</v>
      </c>
      <c r="F137" s="81">
        <v>5102</v>
      </c>
      <c r="G137" s="67" t="str">
        <f>VLOOKUP(F137,CFOP[],2,FALSE)</f>
        <v xml:space="preserve">Venda de mercadoria adquirida ou recebida de terceiros </v>
      </c>
      <c r="H137" s="84" t="s">
        <v>374</v>
      </c>
      <c r="I137" s="69">
        <v>46058</v>
      </c>
      <c r="J137" s="66" t="s">
        <v>359</v>
      </c>
      <c r="K137" s="87"/>
      <c r="L137" s="66" t="s">
        <v>12</v>
      </c>
      <c r="M137" s="66" t="s">
        <v>12</v>
      </c>
    </row>
    <row r="138" spans="1:13" x14ac:dyDescent="0.3">
      <c r="A138" s="228">
        <v>1270</v>
      </c>
      <c r="B138" s="218" t="s">
        <v>714</v>
      </c>
      <c r="C138" s="152">
        <v>1300</v>
      </c>
      <c r="D138" s="141">
        <v>5432</v>
      </c>
      <c r="E138" s="67">
        <v>1300</v>
      </c>
      <c r="F138" s="81">
        <v>5102</v>
      </c>
      <c r="G138" s="67" t="str">
        <f>VLOOKUP(F138,CFOP[],2,FALSE)</f>
        <v xml:space="preserve">Venda de mercadoria adquirida ou recebida de terceiros </v>
      </c>
      <c r="H138" s="84" t="s">
        <v>419</v>
      </c>
      <c r="I138" s="69">
        <v>46062</v>
      </c>
      <c r="J138" s="66" t="s">
        <v>57</v>
      </c>
      <c r="K138" s="87"/>
      <c r="L138" s="69" t="s">
        <v>12</v>
      </c>
      <c r="M138" s="66" t="s">
        <v>12</v>
      </c>
    </row>
    <row r="139" spans="1:13" x14ac:dyDescent="0.3">
      <c r="A139" s="228">
        <v>1293</v>
      </c>
      <c r="B139" s="218" t="s">
        <v>574</v>
      </c>
      <c r="C139" s="152">
        <v>1945</v>
      </c>
      <c r="D139" s="141">
        <v>5433</v>
      </c>
      <c r="E139" s="67">
        <v>178</v>
      </c>
      <c r="F139" s="81">
        <v>5102</v>
      </c>
      <c r="G139" s="67" t="str">
        <f>VLOOKUP(F139,CFOP[],2,FALSE)</f>
        <v xml:space="preserve">Venda de mercadoria adquirida ou recebida de terceiros </v>
      </c>
      <c r="H139" s="84" t="s">
        <v>375</v>
      </c>
      <c r="I139" s="69">
        <v>46055</v>
      </c>
      <c r="J139" s="66" t="s">
        <v>359</v>
      </c>
      <c r="K139" s="87"/>
      <c r="L139" s="66" t="s">
        <v>12</v>
      </c>
      <c r="M139" s="66" t="s">
        <v>12</v>
      </c>
    </row>
    <row r="140" spans="1:13" x14ac:dyDescent="0.3">
      <c r="A140" s="228">
        <v>1293</v>
      </c>
      <c r="B140" s="218" t="s">
        <v>572</v>
      </c>
      <c r="C140" s="152">
        <v>1068</v>
      </c>
      <c r="D140" s="141">
        <v>5434</v>
      </c>
      <c r="E140" s="67">
        <v>995</v>
      </c>
      <c r="F140" s="81">
        <v>5102</v>
      </c>
      <c r="G140" s="67" t="str">
        <f>VLOOKUP(F140,CFOP[],2,FALSE)</f>
        <v xml:space="preserve">Venda de mercadoria adquirida ou recebida de terceiros </v>
      </c>
      <c r="H140" s="84" t="s">
        <v>376</v>
      </c>
      <c r="I140" s="69">
        <v>46055</v>
      </c>
      <c r="J140" s="66" t="s">
        <v>359</v>
      </c>
      <c r="K140" s="87"/>
      <c r="L140" s="66" t="s">
        <v>12</v>
      </c>
      <c r="M140" s="66" t="s">
        <v>12</v>
      </c>
    </row>
    <row r="141" spans="1:13" x14ac:dyDescent="0.3">
      <c r="A141" s="228">
        <v>641</v>
      </c>
      <c r="B141" s="218" t="s">
        <v>549</v>
      </c>
      <c r="C141" s="152">
        <v>16175</v>
      </c>
      <c r="D141" s="141">
        <v>5435</v>
      </c>
      <c r="E141" s="67">
        <v>9145</v>
      </c>
      <c r="F141" s="81">
        <v>5102</v>
      </c>
      <c r="G141" s="67" t="str">
        <f>VLOOKUP(F141,CFOP[],2,FALSE)</f>
        <v xml:space="preserve">Venda de mercadoria adquirida ou recebida de terceiros </v>
      </c>
      <c r="H141" s="84" t="s">
        <v>377</v>
      </c>
      <c r="I141" s="69">
        <v>46055</v>
      </c>
      <c r="J141" s="66" t="s">
        <v>359</v>
      </c>
      <c r="K141" s="87"/>
      <c r="L141" s="66" t="s">
        <v>12</v>
      </c>
      <c r="M141" s="66" t="s">
        <v>12</v>
      </c>
    </row>
    <row r="142" spans="1:13" x14ac:dyDescent="0.3">
      <c r="A142" s="228">
        <v>1452</v>
      </c>
      <c r="B142" s="218" t="s">
        <v>524</v>
      </c>
      <c r="C142" s="152">
        <v>9030</v>
      </c>
      <c r="D142" s="141">
        <v>5436</v>
      </c>
      <c r="E142" s="67">
        <v>7224</v>
      </c>
      <c r="F142" s="81">
        <v>5102</v>
      </c>
      <c r="G142" s="67" t="str">
        <f>VLOOKUP(F142,CFOP[],2,FALSE)</f>
        <v xml:space="preserve">Venda de mercadoria adquirida ou recebida de terceiros </v>
      </c>
      <c r="H142" s="84" t="s">
        <v>378</v>
      </c>
      <c r="I142" s="69">
        <v>46056</v>
      </c>
      <c r="J142" s="66" t="s">
        <v>359</v>
      </c>
      <c r="K142" s="87"/>
      <c r="L142" s="66" t="s">
        <v>12</v>
      </c>
      <c r="M142" s="66" t="s">
        <v>12</v>
      </c>
    </row>
    <row r="143" spans="1:13" x14ac:dyDescent="0.3">
      <c r="A143" s="228">
        <v>1487</v>
      </c>
      <c r="B143" s="218" t="s">
        <v>717</v>
      </c>
      <c r="C143" s="152">
        <v>517.79999999999995</v>
      </c>
      <c r="D143" s="141">
        <v>5437</v>
      </c>
      <c r="E143" s="67">
        <v>517.79999999999995</v>
      </c>
      <c r="F143" s="81">
        <v>6102</v>
      </c>
      <c r="G143" s="67" t="str">
        <f>VLOOKUP(F143,CFOP[],2,FALSE)</f>
        <v xml:space="preserve">Venda de mercadoria adquirida ou recebida de terceiros </v>
      </c>
      <c r="H143" s="84" t="s">
        <v>379</v>
      </c>
      <c r="I143" s="69">
        <v>46056</v>
      </c>
      <c r="J143" s="66" t="s">
        <v>359</v>
      </c>
      <c r="K143" s="87"/>
      <c r="L143" s="66" t="s">
        <v>12</v>
      </c>
      <c r="M143" s="66" t="s">
        <v>12</v>
      </c>
    </row>
    <row r="144" spans="1:13" x14ac:dyDescent="0.3">
      <c r="A144" s="228">
        <v>1452</v>
      </c>
      <c r="B144" s="218" t="s">
        <v>524</v>
      </c>
      <c r="C144" s="152">
        <v>9030</v>
      </c>
      <c r="D144" s="141">
        <v>5438</v>
      </c>
      <c r="E144" s="67">
        <v>1806</v>
      </c>
      <c r="F144" s="81">
        <v>5102</v>
      </c>
      <c r="G144" s="67" t="str">
        <f>VLOOKUP(F144,CFOP[],2,FALSE)</f>
        <v xml:space="preserve">Venda de mercadoria adquirida ou recebida de terceiros </v>
      </c>
      <c r="H144" s="84" t="s">
        <v>380</v>
      </c>
      <c r="I144" s="69">
        <v>46057</v>
      </c>
      <c r="J144" s="66" t="s">
        <v>359</v>
      </c>
      <c r="K144" s="87"/>
      <c r="L144" s="66" t="s">
        <v>12</v>
      </c>
      <c r="M144" s="66" t="s">
        <v>12</v>
      </c>
    </row>
    <row r="145" spans="1:13" x14ac:dyDescent="0.3">
      <c r="A145" s="229">
        <v>1273</v>
      </c>
      <c r="B145" s="160" t="s">
        <v>512</v>
      </c>
      <c r="C145" s="153">
        <v>750</v>
      </c>
      <c r="D145" s="143">
        <v>5439</v>
      </c>
      <c r="E145" s="72">
        <v>750</v>
      </c>
      <c r="F145" s="82">
        <v>5102</v>
      </c>
      <c r="G145" s="67" t="str">
        <f>VLOOKUP(F145,CFOP[],2,FALSE)</f>
        <v xml:space="preserve">Venda de mercadoria adquirida ou recebida de terceiros </v>
      </c>
      <c r="H145" s="88" t="s">
        <v>420</v>
      </c>
      <c r="I145" s="173">
        <v>46062</v>
      </c>
      <c r="J145" s="68" t="s">
        <v>359</v>
      </c>
      <c r="K145" s="73"/>
      <c r="L145" s="68" t="s">
        <v>12</v>
      </c>
      <c r="M145" s="68" t="s">
        <v>12</v>
      </c>
    </row>
    <row r="146" spans="1:13" x14ac:dyDescent="0.3">
      <c r="A146" s="229">
        <v>1270</v>
      </c>
      <c r="B146" s="160" t="s">
        <v>714</v>
      </c>
      <c r="C146" s="153">
        <v>1402.5</v>
      </c>
      <c r="D146" s="143">
        <v>5440</v>
      </c>
      <c r="E146" s="72">
        <v>1402.5</v>
      </c>
      <c r="F146" s="82">
        <v>5102</v>
      </c>
      <c r="G146" s="67" t="str">
        <f>VLOOKUP(F146,CFOP[],2,FALSE)</f>
        <v xml:space="preserve">Venda de mercadoria adquirida ou recebida de terceiros </v>
      </c>
      <c r="H146" s="88" t="s">
        <v>580</v>
      </c>
      <c r="I146" s="173">
        <v>46062</v>
      </c>
      <c r="J146" s="68" t="s">
        <v>359</v>
      </c>
      <c r="K146" s="73"/>
      <c r="L146" s="68" t="s">
        <v>12</v>
      </c>
      <c r="M146" s="68" t="s">
        <v>12</v>
      </c>
    </row>
    <row r="147" spans="1:13" x14ac:dyDescent="0.3">
      <c r="A147" s="229">
        <v>1364</v>
      </c>
      <c r="B147" s="160" t="s">
        <v>581</v>
      </c>
      <c r="C147" s="153">
        <v>8863</v>
      </c>
      <c r="D147" s="143">
        <v>5441</v>
      </c>
      <c r="E147" s="72">
        <v>4683</v>
      </c>
      <c r="F147" s="82">
        <v>5102</v>
      </c>
      <c r="G147" s="67" t="str">
        <f>VLOOKUP(F147,CFOP[],2,FALSE)</f>
        <v xml:space="preserve">Venda de mercadoria adquirida ou recebida de terceiros </v>
      </c>
      <c r="H147" s="88" t="s">
        <v>582</v>
      </c>
      <c r="I147" s="173">
        <v>46063</v>
      </c>
      <c r="J147" s="68" t="s">
        <v>57</v>
      </c>
      <c r="K147" s="73"/>
      <c r="L147" s="68" t="s">
        <v>12</v>
      </c>
      <c r="M147" s="68" t="s">
        <v>12</v>
      </c>
    </row>
    <row r="148" spans="1:13" x14ac:dyDescent="0.3">
      <c r="A148" s="229">
        <v>1254</v>
      </c>
      <c r="B148" s="160" t="s">
        <v>726</v>
      </c>
      <c r="C148" s="153">
        <v>8018</v>
      </c>
      <c r="D148" s="143">
        <v>5442</v>
      </c>
      <c r="E148" s="72">
        <v>3678</v>
      </c>
      <c r="F148" s="82">
        <v>5102</v>
      </c>
      <c r="G148" s="67" t="str">
        <f>VLOOKUP(F148,CFOP[],2,FALSE)</f>
        <v xml:space="preserve">Venda de mercadoria adquirida ou recebida de terceiros </v>
      </c>
      <c r="H148" s="88" t="s">
        <v>727</v>
      </c>
      <c r="I148" s="76">
        <v>46064</v>
      </c>
      <c r="J148" s="68" t="s">
        <v>57</v>
      </c>
      <c r="K148" s="73"/>
      <c r="L148" s="68" t="s">
        <v>12</v>
      </c>
      <c r="M148" s="68" t="s">
        <v>12</v>
      </c>
    </row>
    <row r="149" spans="1:13" x14ac:dyDescent="0.3">
      <c r="A149" s="229">
        <v>1364</v>
      </c>
      <c r="B149" s="160" t="s">
        <v>581</v>
      </c>
      <c r="C149" s="153">
        <v>8863</v>
      </c>
      <c r="D149" s="143">
        <v>5443</v>
      </c>
      <c r="E149" s="72">
        <v>4683</v>
      </c>
      <c r="F149" s="82">
        <v>5102</v>
      </c>
      <c r="G149" s="67" t="str">
        <f>VLOOKUP(F149,CFOP[],2,FALSE)</f>
        <v xml:space="preserve">Venda de mercadoria adquirida ou recebida de terceiros </v>
      </c>
      <c r="H149" s="88" t="s">
        <v>756</v>
      </c>
      <c r="I149" s="76">
        <v>46064</v>
      </c>
      <c r="J149" s="68" t="s">
        <v>359</v>
      </c>
      <c r="K149" s="73"/>
      <c r="L149" s="68" t="s">
        <v>12</v>
      </c>
      <c r="M149" s="68" t="s">
        <v>12</v>
      </c>
    </row>
    <row r="150" spans="1:13" x14ac:dyDescent="0.3">
      <c r="A150" s="229">
        <v>1508</v>
      </c>
      <c r="B150" s="160" t="s">
        <v>635</v>
      </c>
      <c r="C150" s="105">
        <v>970</v>
      </c>
      <c r="D150" s="143">
        <v>5444</v>
      </c>
      <c r="E150" s="72">
        <v>970</v>
      </c>
      <c r="F150" s="82">
        <v>5102</v>
      </c>
      <c r="G150" s="67" t="str">
        <f>VLOOKUP(F150,CFOP[],2,FALSE)</f>
        <v xml:space="preserve">Venda de mercadoria adquirida ou recebida de terceiros </v>
      </c>
      <c r="H150" s="88" t="s">
        <v>772</v>
      </c>
      <c r="I150" s="76">
        <v>46065</v>
      </c>
      <c r="J150" s="68" t="s">
        <v>359</v>
      </c>
      <c r="K150" s="73"/>
      <c r="L150" s="68" t="s">
        <v>12</v>
      </c>
      <c r="M150" s="68" t="s">
        <v>12</v>
      </c>
    </row>
    <row r="151" spans="1:13" x14ac:dyDescent="0.3">
      <c r="A151" s="229">
        <v>1254</v>
      </c>
      <c r="B151" s="160" t="s">
        <v>726</v>
      </c>
      <c r="C151" s="105">
        <v>8468</v>
      </c>
      <c r="D151" s="143">
        <v>5445</v>
      </c>
      <c r="E151" s="72">
        <v>4128</v>
      </c>
      <c r="F151" s="82">
        <v>5102</v>
      </c>
      <c r="G151" s="67" t="str">
        <f>VLOOKUP(F151,CFOP[],2,FALSE)</f>
        <v xml:space="preserve">Venda de mercadoria adquirida ou recebida de terceiros </v>
      </c>
      <c r="H151" s="88" t="s">
        <v>776</v>
      </c>
      <c r="I151" s="76">
        <v>46065</v>
      </c>
      <c r="J151" s="68" t="s">
        <v>359</v>
      </c>
      <c r="K151" s="73"/>
      <c r="L151" s="68" t="s">
        <v>12</v>
      </c>
      <c r="M151" s="68" t="s">
        <v>12</v>
      </c>
    </row>
    <row r="152" spans="1:13" x14ac:dyDescent="0.3">
      <c r="A152" s="229">
        <v>1524</v>
      </c>
      <c r="B152" s="160" t="s">
        <v>777</v>
      </c>
      <c r="C152" s="105">
        <v>1016</v>
      </c>
      <c r="D152" s="143">
        <v>5446</v>
      </c>
      <c r="E152" s="72">
        <v>1016</v>
      </c>
      <c r="F152" s="82">
        <v>5102</v>
      </c>
      <c r="G152" s="67" t="str">
        <f>VLOOKUP(F152,CFOP[],2,FALSE)</f>
        <v xml:space="preserve">Venda de mercadoria adquirida ou recebida de terceiros </v>
      </c>
      <c r="H152" s="88" t="s">
        <v>778</v>
      </c>
      <c r="I152" s="76">
        <v>46066</v>
      </c>
      <c r="J152" s="68" t="s">
        <v>359</v>
      </c>
      <c r="K152" s="73"/>
      <c r="L152" s="68" t="s">
        <v>12</v>
      </c>
      <c r="M152" s="68" t="s">
        <v>12</v>
      </c>
    </row>
    <row r="153" spans="1:13" x14ac:dyDescent="0.3">
      <c r="A153" s="229" t="s">
        <v>15</v>
      </c>
      <c r="B153" s="160" t="s">
        <v>425</v>
      </c>
      <c r="C153" s="105">
        <v>13750</v>
      </c>
      <c r="D153" s="143">
        <v>5447</v>
      </c>
      <c r="E153" s="72">
        <v>13750</v>
      </c>
      <c r="F153" s="82">
        <v>5901</v>
      </c>
      <c r="G153" s="67" t="str">
        <f>VLOOKUP(F153,CFOP[],2,FALSE)</f>
        <v xml:space="preserve">Remessa para industrialização por encomenda </v>
      </c>
      <c r="H153" s="88" t="s">
        <v>785</v>
      </c>
      <c r="I153" s="76">
        <v>46066</v>
      </c>
      <c r="J153" s="68" t="s">
        <v>359</v>
      </c>
      <c r="K153" s="73"/>
      <c r="L153" s="68" t="s">
        <v>12</v>
      </c>
      <c r="M153" s="68" t="s">
        <v>12</v>
      </c>
    </row>
    <row r="154" spans="1:13" x14ac:dyDescent="0.3">
      <c r="A154" s="229">
        <v>1351</v>
      </c>
      <c r="B154" s="160" t="s">
        <v>428</v>
      </c>
      <c r="C154" s="105">
        <v>15569</v>
      </c>
      <c r="D154" s="143">
        <v>5448</v>
      </c>
      <c r="E154" s="72">
        <v>8149</v>
      </c>
      <c r="F154" s="82">
        <v>5102</v>
      </c>
      <c r="G154" s="67" t="str">
        <f>VLOOKUP(F154,CFOP[],2,FALSE)</f>
        <v xml:space="preserve">Venda de mercadoria adquirida ou recebida de terceiros </v>
      </c>
      <c r="H154" s="88" t="s">
        <v>786</v>
      </c>
      <c r="I154" s="76">
        <v>46071</v>
      </c>
      <c r="J154" s="68" t="s">
        <v>359</v>
      </c>
      <c r="K154" s="73"/>
      <c r="L154" s="68" t="s">
        <v>12</v>
      </c>
      <c r="M154" s="68" t="s">
        <v>12</v>
      </c>
    </row>
    <row r="155" spans="1:13" x14ac:dyDescent="0.3">
      <c r="A155" s="229">
        <v>1537</v>
      </c>
      <c r="B155" s="160" t="s">
        <v>806</v>
      </c>
      <c r="C155" s="105">
        <v>988</v>
      </c>
      <c r="D155" s="143">
        <v>5449</v>
      </c>
      <c r="E155" s="72">
        <v>98</v>
      </c>
      <c r="F155" s="82">
        <v>5102</v>
      </c>
      <c r="G155" s="67" t="str">
        <f>VLOOKUP(F155,CFOP[],2,FALSE)</f>
        <v xml:space="preserve">Venda de mercadoria adquirida ou recebida de terceiros </v>
      </c>
      <c r="H155" s="88" t="s">
        <v>807</v>
      </c>
      <c r="I155" s="76">
        <v>46072</v>
      </c>
      <c r="J155" s="68" t="s">
        <v>57</v>
      </c>
      <c r="K155" s="73"/>
      <c r="L155" s="68" t="s">
        <v>12</v>
      </c>
      <c r="M155" s="68" t="s">
        <v>12</v>
      </c>
    </row>
    <row r="156" spans="1:13" x14ac:dyDescent="0.3">
      <c r="A156" s="229">
        <v>1480</v>
      </c>
      <c r="B156" s="160" t="s">
        <v>499</v>
      </c>
      <c r="C156" s="105">
        <v>2800</v>
      </c>
      <c r="D156" s="143">
        <v>5450</v>
      </c>
      <c r="E156" s="72">
        <v>2800</v>
      </c>
      <c r="F156" s="82">
        <v>6102</v>
      </c>
      <c r="G156" s="67" t="str">
        <f>VLOOKUP(F156,CFOP[],2,FALSE)</f>
        <v xml:space="preserve">Venda de mercadoria adquirida ou recebida de terceiros </v>
      </c>
      <c r="H156" s="88" t="s">
        <v>804</v>
      </c>
      <c r="I156" s="76">
        <v>46072</v>
      </c>
      <c r="J156" s="68" t="s">
        <v>57</v>
      </c>
      <c r="K156" s="73"/>
      <c r="L156" s="68" t="s">
        <v>12</v>
      </c>
      <c r="M156" s="68" t="s">
        <v>12</v>
      </c>
    </row>
    <row r="157" spans="1:13" x14ac:dyDescent="0.3">
      <c r="A157" s="229">
        <v>1480</v>
      </c>
      <c r="B157" s="160" t="s">
        <v>499</v>
      </c>
      <c r="C157" s="105">
        <v>2800</v>
      </c>
      <c r="D157" s="143">
        <v>5451</v>
      </c>
      <c r="E157" s="72">
        <v>2800</v>
      </c>
      <c r="F157" s="82">
        <v>6102</v>
      </c>
      <c r="G157" s="67" t="str">
        <f>VLOOKUP(F157,CFOP[],2,FALSE)</f>
        <v xml:space="preserve">Venda de mercadoria adquirida ou recebida de terceiros </v>
      </c>
      <c r="H157" s="88" t="s">
        <v>805</v>
      </c>
      <c r="I157" s="76">
        <v>46072</v>
      </c>
      <c r="J157" s="68" t="s">
        <v>359</v>
      </c>
      <c r="K157" s="73"/>
      <c r="L157" s="68" t="s">
        <v>12</v>
      </c>
      <c r="M157" s="68" t="s">
        <v>12</v>
      </c>
    </row>
    <row r="158" spans="1:13" x14ac:dyDescent="0.3">
      <c r="A158" s="229">
        <v>1493</v>
      </c>
      <c r="B158" s="160" t="s">
        <v>501</v>
      </c>
      <c r="C158" s="105">
        <v>1882.5</v>
      </c>
      <c r="D158" s="143">
        <v>5452</v>
      </c>
      <c r="E158" s="72">
        <v>1882.5</v>
      </c>
      <c r="F158" s="82">
        <v>5102</v>
      </c>
      <c r="G158" s="67" t="str">
        <f>VLOOKUP(F158,CFOP[],2,FALSE)</f>
        <v xml:space="preserve">Venda de mercadoria adquirida ou recebida de terceiros </v>
      </c>
      <c r="H158" s="88" t="s">
        <v>813</v>
      </c>
      <c r="I158" s="76">
        <v>46072</v>
      </c>
      <c r="J158" s="68" t="s">
        <v>359</v>
      </c>
      <c r="K158" s="73"/>
      <c r="L158" s="68" t="s">
        <v>12</v>
      </c>
      <c r="M158" s="68" t="s">
        <v>12</v>
      </c>
    </row>
    <row r="159" spans="1:13" x14ac:dyDescent="0.3">
      <c r="A159" s="229">
        <v>1549</v>
      </c>
      <c r="B159" s="160" t="s">
        <v>524</v>
      </c>
      <c r="C159" s="105">
        <v>1806</v>
      </c>
      <c r="D159" s="143">
        <v>5453</v>
      </c>
      <c r="E159" s="72">
        <v>1806</v>
      </c>
      <c r="F159" s="82">
        <v>5102</v>
      </c>
      <c r="G159" s="67" t="str">
        <f>VLOOKUP(F159,CFOP[],2,FALSE)</f>
        <v xml:space="preserve">Venda de mercadoria adquirida ou recebida de terceiros </v>
      </c>
      <c r="H159" s="88" t="s">
        <v>838</v>
      </c>
      <c r="I159" s="76">
        <v>46073</v>
      </c>
      <c r="J159" s="68" t="s">
        <v>359</v>
      </c>
      <c r="K159" s="73"/>
      <c r="L159" s="68" t="s">
        <v>12</v>
      </c>
      <c r="M159" s="68" t="s">
        <v>12</v>
      </c>
    </row>
    <row r="160" spans="1:13" x14ac:dyDescent="0.3">
      <c r="A160" s="229" t="s">
        <v>15</v>
      </c>
      <c r="B160" s="160" t="s">
        <v>425</v>
      </c>
      <c r="C160" s="105">
        <v>13750</v>
      </c>
      <c r="D160" s="143">
        <v>5454</v>
      </c>
      <c r="E160" s="72">
        <v>13750</v>
      </c>
      <c r="F160" s="82">
        <v>5901</v>
      </c>
      <c r="G160" s="67" t="str">
        <f>VLOOKUP(F160,CFOP[],2,FALSE)</f>
        <v xml:space="preserve">Remessa para industrialização por encomenda </v>
      </c>
      <c r="H160" s="88" t="s">
        <v>831</v>
      </c>
      <c r="I160" s="76">
        <v>46073</v>
      </c>
      <c r="J160" s="68" t="s">
        <v>359</v>
      </c>
      <c r="K160" s="73" t="s">
        <v>298</v>
      </c>
      <c r="L160" s="68" t="s">
        <v>12</v>
      </c>
      <c r="M160" s="68" t="s">
        <v>12</v>
      </c>
    </row>
    <row r="161" spans="1:13" x14ac:dyDescent="0.3">
      <c r="A161" s="229">
        <v>1481</v>
      </c>
      <c r="B161" s="160" t="s">
        <v>528</v>
      </c>
      <c r="C161" s="105">
        <v>2478.6</v>
      </c>
      <c r="D161" s="143">
        <v>5455</v>
      </c>
      <c r="E161" s="72">
        <v>1588.6</v>
      </c>
      <c r="F161" s="82">
        <v>5102</v>
      </c>
      <c r="G161" s="67" t="str">
        <f>VLOOKUP(F161,CFOP[],2,FALSE)</f>
        <v xml:space="preserve">Venda de mercadoria adquirida ou recebida de terceiros </v>
      </c>
      <c r="H161" s="88" t="s">
        <v>832</v>
      </c>
      <c r="I161" s="76">
        <v>46073</v>
      </c>
      <c r="J161" s="68" t="s">
        <v>359</v>
      </c>
      <c r="K161" s="73"/>
      <c r="L161" s="68" t="s">
        <v>12</v>
      </c>
      <c r="M161" s="68" t="s">
        <v>12</v>
      </c>
    </row>
    <row r="162" spans="1:13" x14ac:dyDescent="0.3">
      <c r="A162" s="229">
        <v>1482</v>
      </c>
      <c r="B162" s="160" t="s">
        <v>528</v>
      </c>
      <c r="C162" s="105">
        <v>1333.35</v>
      </c>
      <c r="D162" s="143">
        <v>5456</v>
      </c>
      <c r="E162" s="72">
        <v>1333.35</v>
      </c>
      <c r="F162" s="82">
        <v>5102</v>
      </c>
      <c r="G162" s="67" t="str">
        <f>VLOOKUP(F162,CFOP[],2,FALSE)</f>
        <v xml:space="preserve">Venda de mercadoria adquirida ou recebida de terceiros </v>
      </c>
      <c r="H162" s="88" t="s">
        <v>834</v>
      </c>
      <c r="I162" s="76">
        <v>46073</v>
      </c>
      <c r="J162" s="68" t="s">
        <v>359</v>
      </c>
      <c r="K162" s="73"/>
      <c r="L162" s="68" t="s">
        <v>12</v>
      </c>
      <c r="M162" s="68" t="s">
        <v>12</v>
      </c>
    </row>
    <row r="163" spans="1:13" x14ac:dyDescent="0.3">
      <c r="A163" s="229">
        <v>1540</v>
      </c>
      <c r="B163" s="160" t="s">
        <v>524</v>
      </c>
      <c r="C163" s="105">
        <v>5418</v>
      </c>
      <c r="D163" s="143">
        <v>5457</v>
      </c>
      <c r="E163" s="72">
        <v>5418</v>
      </c>
      <c r="F163" s="82">
        <v>5102</v>
      </c>
      <c r="G163" s="67" t="str">
        <f>VLOOKUP(F163,CFOP[],2,FALSE)</f>
        <v xml:space="preserve">Venda de mercadoria adquirida ou recebida de terceiros </v>
      </c>
      <c r="H163" s="88" t="s">
        <v>837</v>
      </c>
      <c r="I163" s="76">
        <v>46073</v>
      </c>
      <c r="J163" s="68" t="s">
        <v>359</v>
      </c>
      <c r="K163" s="73"/>
      <c r="L163" s="68" t="s">
        <v>12</v>
      </c>
      <c r="M163" s="68" t="s">
        <v>12</v>
      </c>
    </row>
    <row r="164" spans="1:13" x14ac:dyDescent="0.3">
      <c r="A164" s="229">
        <v>1537</v>
      </c>
      <c r="B164" s="160" t="s">
        <v>806</v>
      </c>
      <c r="C164" s="105">
        <v>1086</v>
      </c>
      <c r="D164" s="143">
        <v>5458</v>
      </c>
      <c r="E164" s="72">
        <v>196</v>
      </c>
      <c r="F164" s="82">
        <v>5102</v>
      </c>
      <c r="G164" s="67" t="str">
        <f>VLOOKUP(F164,CFOP[],2,FALSE)</f>
        <v xml:space="preserve">Venda de mercadoria adquirida ou recebida de terceiros </v>
      </c>
      <c r="H164" s="88" t="s">
        <v>853</v>
      </c>
      <c r="I164" s="76">
        <v>46076</v>
      </c>
      <c r="J164" s="68" t="s">
        <v>359</v>
      </c>
      <c r="K164" s="73"/>
      <c r="L164" s="68" t="s">
        <v>12</v>
      </c>
      <c r="M164" s="68" t="s">
        <v>12</v>
      </c>
    </row>
    <row r="165" spans="1:13" x14ac:dyDescent="0.3">
      <c r="A165" s="229">
        <v>1495</v>
      </c>
      <c r="B165" s="160" t="s">
        <v>549</v>
      </c>
      <c r="C165" s="105">
        <v>1680</v>
      </c>
      <c r="D165" s="143">
        <v>5459</v>
      </c>
      <c r="E165" s="72">
        <v>1680</v>
      </c>
      <c r="F165" s="82">
        <v>5102</v>
      </c>
      <c r="G165" s="67" t="str">
        <f>VLOOKUP(F165,CFOP[],2,FALSE)</f>
        <v xml:space="preserve">Venda de mercadoria adquirida ou recebida de terceiros </v>
      </c>
      <c r="H165" s="88" t="s">
        <v>872</v>
      </c>
      <c r="I165" s="76">
        <v>46077</v>
      </c>
      <c r="J165" s="68" t="s">
        <v>359</v>
      </c>
      <c r="K165" s="73"/>
      <c r="L165" s="68" t="s">
        <v>12</v>
      </c>
      <c r="M165" s="68" t="s">
        <v>12</v>
      </c>
    </row>
    <row r="166" spans="1:13" x14ac:dyDescent="0.3">
      <c r="A166" s="229">
        <v>637</v>
      </c>
      <c r="B166" s="160" t="s">
        <v>549</v>
      </c>
      <c r="C166" s="105">
        <v>11123</v>
      </c>
      <c r="D166" s="143">
        <v>5460</v>
      </c>
      <c r="E166" s="72">
        <v>6043</v>
      </c>
      <c r="F166" s="82">
        <v>5102</v>
      </c>
      <c r="G166" s="67" t="str">
        <f>VLOOKUP(F166,CFOP[],2,FALSE)</f>
        <v xml:space="preserve">Venda de mercadoria adquirida ou recebida de terceiros </v>
      </c>
      <c r="H166" s="88" t="s">
        <v>873</v>
      </c>
      <c r="I166" s="76">
        <v>46077</v>
      </c>
      <c r="J166" s="68" t="s">
        <v>359</v>
      </c>
      <c r="K166" s="73"/>
      <c r="L166" s="68" t="s">
        <v>12</v>
      </c>
      <c r="M166" s="68" t="s">
        <v>12</v>
      </c>
    </row>
    <row r="167" spans="1:13" x14ac:dyDescent="0.3">
      <c r="A167" s="229" t="s">
        <v>15</v>
      </c>
      <c r="B167" s="160" t="s">
        <v>576</v>
      </c>
      <c r="C167" s="105">
        <v>6903.41</v>
      </c>
      <c r="D167" s="143">
        <v>5461</v>
      </c>
      <c r="E167" s="72">
        <v>6903.41</v>
      </c>
      <c r="F167" s="82">
        <v>5901</v>
      </c>
      <c r="G167" s="67" t="str">
        <f>VLOOKUP(F167,CFOP[],2,FALSE)</f>
        <v xml:space="preserve">Remessa para industrialização por encomenda </v>
      </c>
      <c r="H167" s="88" t="s">
        <v>895</v>
      </c>
      <c r="I167" s="76">
        <v>46078</v>
      </c>
      <c r="J167" s="68" t="s">
        <v>359</v>
      </c>
      <c r="K167" s="73"/>
      <c r="L167" s="68" t="s">
        <v>12</v>
      </c>
      <c r="M167" s="68" t="s">
        <v>12</v>
      </c>
    </row>
    <row r="168" spans="1:13" x14ac:dyDescent="0.3">
      <c r="A168" s="229" t="s">
        <v>15</v>
      </c>
      <c r="B168" s="160" t="s">
        <v>576</v>
      </c>
      <c r="C168" s="105">
        <v>6903.41</v>
      </c>
      <c r="D168" s="143">
        <v>5462</v>
      </c>
      <c r="E168" s="72">
        <v>6903.41</v>
      </c>
      <c r="F168" s="82">
        <v>5901</v>
      </c>
      <c r="G168" s="67" t="str">
        <f>VLOOKUP(F168,CFOP[],2,FALSE)</f>
        <v xml:space="preserve">Remessa para industrialização por encomenda </v>
      </c>
      <c r="H168" s="88" t="s">
        <v>896</v>
      </c>
      <c r="I168" s="76">
        <v>46078</v>
      </c>
      <c r="J168" s="68" t="s">
        <v>359</v>
      </c>
      <c r="K168" s="73"/>
      <c r="L168" s="68" t="s">
        <v>12</v>
      </c>
      <c r="M168" s="68" t="s">
        <v>12</v>
      </c>
    </row>
    <row r="169" spans="1:13" x14ac:dyDescent="0.3">
      <c r="A169" s="229" t="s">
        <v>15</v>
      </c>
      <c r="B169" s="160" t="s">
        <v>576</v>
      </c>
      <c r="C169" s="105">
        <v>6903.41</v>
      </c>
      <c r="D169" s="143">
        <v>5463</v>
      </c>
      <c r="E169" s="72">
        <v>6903.41</v>
      </c>
      <c r="F169" s="82">
        <v>5901</v>
      </c>
      <c r="G169" s="67" t="str">
        <f>VLOOKUP(F169,CFOP[],2,FALSE)</f>
        <v xml:space="preserve">Remessa para industrialização por encomenda </v>
      </c>
      <c r="H169" s="88" t="s">
        <v>897</v>
      </c>
      <c r="I169" s="76">
        <v>46078</v>
      </c>
      <c r="J169" s="68" t="s">
        <v>359</v>
      </c>
      <c r="K169" s="73"/>
      <c r="L169" s="68" t="s">
        <v>12</v>
      </c>
      <c r="M169" s="68" t="s">
        <v>12</v>
      </c>
    </row>
    <row r="170" spans="1:13" x14ac:dyDescent="0.3">
      <c r="A170" s="229">
        <v>1548</v>
      </c>
      <c r="B170" s="160" t="s">
        <v>900</v>
      </c>
      <c r="C170" s="105">
        <v>1068</v>
      </c>
      <c r="D170" s="143">
        <v>5464</v>
      </c>
      <c r="E170" s="72">
        <v>178</v>
      </c>
      <c r="F170" s="82">
        <v>5102</v>
      </c>
      <c r="G170" s="72" t="str">
        <f>VLOOKUP(F170,CFOP[],2,FALSE)</f>
        <v xml:space="preserve">Venda de mercadoria adquirida ou recebida de terceiros </v>
      </c>
      <c r="H170" s="88" t="s">
        <v>901</v>
      </c>
      <c r="I170" s="76">
        <v>46078</v>
      </c>
      <c r="J170" s="68" t="s">
        <v>359</v>
      </c>
      <c r="K170" s="73"/>
      <c r="L170" s="68" t="s">
        <v>12</v>
      </c>
      <c r="M170" s="68" t="s">
        <v>12</v>
      </c>
    </row>
    <row r="171" spans="1:13" x14ac:dyDescent="0.3">
      <c r="A171" s="229">
        <v>1533</v>
      </c>
      <c r="B171" s="160" t="s">
        <v>904</v>
      </c>
      <c r="C171" s="105">
        <v>8718.84</v>
      </c>
      <c r="D171" s="143">
        <v>5465</v>
      </c>
      <c r="E171" s="72">
        <v>7828.84</v>
      </c>
      <c r="F171" s="82">
        <v>5102</v>
      </c>
      <c r="G171" s="72" t="str">
        <f>VLOOKUP(F171,CFOP[],2,FALSE)</f>
        <v xml:space="preserve">Venda de mercadoria adquirida ou recebida de terceiros </v>
      </c>
      <c r="H171" s="88" t="s">
        <v>905</v>
      </c>
      <c r="I171" s="76">
        <v>46078</v>
      </c>
      <c r="J171" s="68" t="s">
        <v>359</v>
      </c>
      <c r="K171" s="73"/>
      <c r="L171" s="68" t="s">
        <v>12</v>
      </c>
      <c r="M171" s="68" t="s">
        <v>12</v>
      </c>
    </row>
    <row r="172" spans="1:13" x14ac:dyDescent="0.3">
      <c r="A172" s="229">
        <v>1593</v>
      </c>
      <c r="B172" s="160" t="s">
        <v>700</v>
      </c>
      <c r="C172" s="105">
        <v>1650</v>
      </c>
      <c r="D172" s="143">
        <v>5466</v>
      </c>
      <c r="E172" s="72">
        <v>1650</v>
      </c>
      <c r="F172" s="82">
        <v>5102</v>
      </c>
      <c r="G172" s="72" t="str">
        <f>VLOOKUP(F172,CFOP[],2,FALSE)</f>
        <v xml:space="preserve">Venda de mercadoria adquirida ou recebida de terceiros </v>
      </c>
      <c r="H172" s="88" t="s">
        <v>949</v>
      </c>
      <c r="I172" s="76">
        <v>46080</v>
      </c>
      <c r="J172" s="68" t="s">
        <v>359</v>
      </c>
      <c r="K172" s="73"/>
      <c r="L172" s="68" t="s">
        <v>12</v>
      </c>
      <c r="M172" s="68" t="s">
        <v>12</v>
      </c>
    </row>
    <row r="173" spans="1:13" x14ac:dyDescent="0.3">
      <c r="A173" s="229">
        <v>1337</v>
      </c>
      <c r="B173" s="160" t="s">
        <v>956</v>
      </c>
      <c r="C173" s="105">
        <v>946</v>
      </c>
      <c r="D173" s="143">
        <v>5467</v>
      </c>
      <c r="E173" s="72">
        <v>946</v>
      </c>
      <c r="F173" s="82">
        <v>6102</v>
      </c>
      <c r="G173" s="72" t="str">
        <f>VLOOKUP(F173,CFOP[],2,FALSE)</f>
        <v xml:space="preserve">Venda de mercadoria adquirida ou recebida de terceiros </v>
      </c>
      <c r="H173" s="88" t="s">
        <v>955</v>
      </c>
      <c r="I173" s="76">
        <v>46083</v>
      </c>
      <c r="J173" s="68" t="s">
        <v>359</v>
      </c>
      <c r="K173" s="73"/>
      <c r="L173" s="68" t="s">
        <v>12</v>
      </c>
      <c r="M173" s="68" t="s">
        <v>12</v>
      </c>
    </row>
    <row r="174" spans="1:13" x14ac:dyDescent="0.3">
      <c r="A174" s="229" t="s">
        <v>15</v>
      </c>
      <c r="B174" s="160" t="s">
        <v>576</v>
      </c>
      <c r="C174" s="105">
        <v>7365</v>
      </c>
      <c r="D174" s="143">
        <v>5468</v>
      </c>
      <c r="E174" s="72">
        <v>7365</v>
      </c>
      <c r="F174" s="82">
        <v>5901</v>
      </c>
      <c r="G174" s="72" t="str">
        <f>VLOOKUP(F174,CFOP[],2,FALSE)</f>
        <v xml:space="preserve">Remessa para industrialização por encomenda </v>
      </c>
      <c r="H174" s="88" t="s">
        <v>950</v>
      </c>
      <c r="I174" s="76">
        <v>46083</v>
      </c>
      <c r="J174" s="68" t="s">
        <v>359</v>
      </c>
      <c r="K174" s="73"/>
      <c r="L174" s="68" t="s">
        <v>12</v>
      </c>
      <c r="M174" s="68" t="s">
        <v>12</v>
      </c>
    </row>
    <row r="175" spans="1:13" x14ac:dyDescent="0.3">
      <c r="A175" s="229" t="s">
        <v>15</v>
      </c>
      <c r="B175" s="160" t="s">
        <v>957</v>
      </c>
      <c r="C175" s="105">
        <v>8870</v>
      </c>
      <c r="D175" s="143">
        <v>5469</v>
      </c>
      <c r="E175" s="72">
        <v>8870</v>
      </c>
      <c r="F175" s="82">
        <v>5901</v>
      </c>
      <c r="G175" s="72" t="str">
        <f>VLOOKUP(F175,CFOP[],2,FALSE)</f>
        <v xml:space="preserve">Remessa para industrialização por encomenda </v>
      </c>
      <c r="H175" s="88" t="s">
        <v>958</v>
      </c>
      <c r="I175" s="76">
        <v>46083</v>
      </c>
      <c r="J175" s="68" t="s">
        <v>359</v>
      </c>
      <c r="K175" s="73"/>
      <c r="L175" s="68" t="s">
        <v>12</v>
      </c>
      <c r="M175" s="68" t="s">
        <v>12</v>
      </c>
    </row>
    <row r="176" spans="1:13" x14ac:dyDescent="0.3">
      <c r="A176" s="229">
        <v>1604</v>
      </c>
      <c r="B176" s="160" t="s">
        <v>524</v>
      </c>
      <c r="C176" s="105">
        <v>7231.2</v>
      </c>
      <c r="D176" s="143">
        <v>5470</v>
      </c>
      <c r="E176" s="72">
        <v>7231.2</v>
      </c>
      <c r="F176" s="82">
        <v>5102</v>
      </c>
      <c r="G176" s="72" t="str">
        <f>VLOOKUP(F176,CFOP[],2,FALSE)</f>
        <v xml:space="preserve">Venda de mercadoria adquirida ou recebida de terceiros </v>
      </c>
      <c r="H176" s="88" t="s">
        <v>968</v>
      </c>
      <c r="I176" s="76">
        <v>46084</v>
      </c>
      <c r="J176" s="68" t="s">
        <v>359</v>
      </c>
      <c r="K176" s="73"/>
      <c r="L176" s="68" t="s">
        <v>12</v>
      </c>
      <c r="M176" s="68" t="s">
        <v>12</v>
      </c>
    </row>
    <row r="177" spans="1:13" x14ac:dyDescent="0.3">
      <c r="A177" s="229" t="s">
        <v>15</v>
      </c>
      <c r="B177" s="160" t="s">
        <v>977</v>
      </c>
      <c r="C177" s="105">
        <v>3500</v>
      </c>
      <c r="D177" s="143">
        <v>5471</v>
      </c>
      <c r="E177" s="72">
        <v>3500</v>
      </c>
      <c r="F177" s="82">
        <v>5901</v>
      </c>
      <c r="G177" s="72" t="str">
        <f>VLOOKUP(F177,CFOP[],2,FALSE)</f>
        <v xml:space="preserve">Remessa para industrialização por encomenda </v>
      </c>
      <c r="H177" s="88" t="s">
        <v>978</v>
      </c>
      <c r="I177" s="76">
        <v>46085</v>
      </c>
      <c r="J177" s="68" t="s">
        <v>359</v>
      </c>
      <c r="K177" s="73"/>
      <c r="L177" s="68" t="s">
        <v>12</v>
      </c>
      <c r="M177" s="68" t="s">
        <v>12</v>
      </c>
    </row>
    <row r="178" spans="1:13" x14ac:dyDescent="0.3">
      <c r="A178" s="229" t="s">
        <v>15</v>
      </c>
      <c r="B178" s="160" t="s">
        <v>957</v>
      </c>
      <c r="C178" s="105">
        <v>190</v>
      </c>
      <c r="D178" s="143">
        <v>5472</v>
      </c>
      <c r="E178" s="72">
        <v>190</v>
      </c>
      <c r="F178" s="82">
        <v>5901</v>
      </c>
      <c r="G178" s="72" t="str">
        <f>VLOOKUP(F178,CFOP[],2,FALSE)</f>
        <v xml:space="preserve">Remessa para industrialização por encomenda </v>
      </c>
      <c r="H178" s="88" t="s">
        <v>979</v>
      </c>
      <c r="I178" s="76">
        <v>46085</v>
      </c>
      <c r="J178" s="68" t="s">
        <v>359</v>
      </c>
      <c r="K178" s="73" t="s">
        <v>980</v>
      </c>
      <c r="L178" s="68" t="s">
        <v>12</v>
      </c>
      <c r="M178" s="68" t="s">
        <v>12</v>
      </c>
    </row>
    <row r="179" spans="1:13" x14ac:dyDescent="0.3">
      <c r="A179" s="229">
        <v>1513</v>
      </c>
      <c r="B179" s="160" t="s">
        <v>1039</v>
      </c>
      <c r="C179" s="105">
        <v>14338</v>
      </c>
      <c r="D179" s="143">
        <v>5473</v>
      </c>
      <c r="E179" s="72">
        <v>9523</v>
      </c>
      <c r="F179" s="82">
        <v>6102</v>
      </c>
      <c r="G179" s="72" t="str">
        <f>VLOOKUP(F179,CFOP[],2,FALSE)</f>
        <v xml:space="preserve">Venda de mercadoria adquirida ou recebida de terceiros </v>
      </c>
      <c r="H179" s="88" t="s">
        <v>1040</v>
      </c>
      <c r="I179" s="76">
        <v>46090</v>
      </c>
      <c r="J179" s="68" t="s">
        <v>359</v>
      </c>
      <c r="K179" s="73"/>
      <c r="L179" s="68" t="s">
        <v>12</v>
      </c>
      <c r="M179" s="68" t="s">
        <v>12</v>
      </c>
    </row>
    <row r="180" spans="1:13" x14ac:dyDescent="0.3">
      <c r="A180" s="229" t="s">
        <v>15</v>
      </c>
      <c r="B180" s="160" t="s">
        <v>576</v>
      </c>
      <c r="C180" s="105">
        <v>7970</v>
      </c>
      <c r="D180" s="143">
        <v>5474</v>
      </c>
      <c r="E180" s="72">
        <v>7970</v>
      </c>
      <c r="F180" s="82">
        <v>5901</v>
      </c>
      <c r="G180" s="72" t="str">
        <f>VLOOKUP(F180,CFOP[],2,FALSE)</f>
        <v xml:space="preserve">Remessa para industrialização por encomenda </v>
      </c>
      <c r="H180" s="88" t="s">
        <v>1048</v>
      </c>
      <c r="I180" s="76">
        <v>46090</v>
      </c>
      <c r="J180" s="68" t="s">
        <v>359</v>
      </c>
      <c r="K180" s="73"/>
      <c r="L180" s="68" t="s">
        <v>12</v>
      </c>
      <c r="M180" s="68" t="s">
        <v>12</v>
      </c>
    </row>
    <row r="181" spans="1:13" x14ac:dyDescent="0.3">
      <c r="A181" s="229" t="s">
        <v>15</v>
      </c>
      <c r="B181" s="160" t="s">
        <v>1049</v>
      </c>
      <c r="C181" s="105">
        <v>17540</v>
      </c>
      <c r="D181" s="143">
        <v>5475</v>
      </c>
      <c r="E181" s="72">
        <v>17540</v>
      </c>
      <c r="F181" s="82">
        <v>5901</v>
      </c>
      <c r="G181" s="72" t="str">
        <f>VLOOKUP(F181,CFOP[],2,FALSE)</f>
        <v xml:space="preserve">Remessa para industrialização por encomenda </v>
      </c>
      <c r="H181" s="88" t="s">
        <v>1050</v>
      </c>
      <c r="I181" s="76">
        <v>46090</v>
      </c>
      <c r="J181" s="68" t="s">
        <v>359</v>
      </c>
      <c r="K181" s="73"/>
      <c r="L181" s="68" t="s">
        <v>12</v>
      </c>
      <c r="M181" s="68" t="s">
        <v>12</v>
      </c>
    </row>
    <row r="182" spans="1:13" x14ac:dyDescent="0.3">
      <c r="A182" s="229">
        <v>1634</v>
      </c>
      <c r="B182" s="160" t="s">
        <v>1052</v>
      </c>
      <c r="C182" s="105">
        <v>2100</v>
      </c>
      <c r="D182" s="143">
        <v>5476</v>
      </c>
      <c r="E182" s="72">
        <v>2100</v>
      </c>
      <c r="F182" s="82">
        <v>5102</v>
      </c>
      <c r="G182" s="72" t="str">
        <f>VLOOKUP(F182,CFOP[],2,FALSE)</f>
        <v xml:space="preserve">Venda de mercadoria adquirida ou recebida de terceiros </v>
      </c>
      <c r="H182" s="88" t="s">
        <v>1051</v>
      </c>
      <c r="I182" s="76">
        <v>46090</v>
      </c>
      <c r="J182" s="68" t="s">
        <v>359</v>
      </c>
      <c r="K182" s="73"/>
      <c r="L182" s="68" t="s">
        <v>12</v>
      </c>
      <c r="M182" s="68" t="s">
        <v>12</v>
      </c>
    </row>
    <row r="183" spans="1:13" x14ac:dyDescent="0.3">
      <c r="A183" s="229">
        <v>1633</v>
      </c>
      <c r="B183" s="160" t="s">
        <v>1056</v>
      </c>
      <c r="C183" s="105">
        <v>1186.5</v>
      </c>
      <c r="D183" s="143">
        <v>5477</v>
      </c>
      <c r="E183" s="72">
        <v>1186.5</v>
      </c>
      <c r="F183" s="82">
        <v>5102</v>
      </c>
      <c r="G183" s="72" t="str">
        <f>VLOOKUP(F183,CFOP[],2,FALSE)</f>
        <v xml:space="preserve">Venda de mercadoria adquirida ou recebida de terceiros </v>
      </c>
      <c r="H183" s="88" t="s">
        <v>1055</v>
      </c>
      <c r="I183" s="76">
        <v>46091</v>
      </c>
      <c r="J183" s="68" t="s">
        <v>359</v>
      </c>
      <c r="K183" s="73"/>
      <c r="L183" s="68" t="s">
        <v>12</v>
      </c>
      <c r="M183" s="68" t="s">
        <v>12</v>
      </c>
    </row>
    <row r="184" spans="1:13" x14ac:dyDescent="0.3">
      <c r="A184" s="229">
        <v>1526</v>
      </c>
      <c r="B184" s="160" t="s">
        <v>715</v>
      </c>
      <c r="C184" s="105">
        <v>5285.7</v>
      </c>
      <c r="D184" s="143">
        <v>5478</v>
      </c>
      <c r="E184" s="72">
        <v>4335.7</v>
      </c>
      <c r="F184" s="82">
        <v>5102</v>
      </c>
      <c r="G184" s="72" t="str">
        <f>VLOOKUP(F184,CFOP[],2,FALSE)</f>
        <v xml:space="preserve">Venda de mercadoria adquirida ou recebida de terceiros </v>
      </c>
      <c r="H184" s="88" t="s">
        <v>1071</v>
      </c>
      <c r="I184" s="76">
        <v>46094</v>
      </c>
      <c r="J184" s="68" t="s">
        <v>359</v>
      </c>
      <c r="K184" s="73"/>
      <c r="L184" s="68" t="s">
        <v>12</v>
      </c>
      <c r="M184" s="68" t="s">
        <v>12</v>
      </c>
    </row>
    <row r="185" spans="1:13" x14ac:dyDescent="0.3">
      <c r="A185" s="229" t="s">
        <v>15</v>
      </c>
      <c r="B185" s="160" t="s">
        <v>1049</v>
      </c>
      <c r="C185" s="105">
        <v>10370</v>
      </c>
      <c r="D185" s="143">
        <v>5479</v>
      </c>
      <c r="E185" s="72">
        <v>10370</v>
      </c>
      <c r="F185" s="82">
        <v>5901</v>
      </c>
      <c r="G185" s="72" t="str">
        <f>VLOOKUP(F185,CFOP[],2,FALSE)</f>
        <v xml:space="preserve">Remessa para industrialização por encomenda </v>
      </c>
      <c r="H185" s="88" t="s">
        <v>1073</v>
      </c>
      <c r="I185" s="76">
        <v>46094</v>
      </c>
      <c r="J185" s="68" t="s">
        <v>359</v>
      </c>
      <c r="K185" s="73"/>
      <c r="L185" s="68" t="s">
        <v>12</v>
      </c>
      <c r="M185" s="68" t="s">
        <v>12</v>
      </c>
    </row>
    <row r="186" spans="1:13" x14ac:dyDescent="0.3">
      <c r="A186" s="229" t="s">
        <v>15</v>
      </c>
      <c r="B186" s="160" t="s">
        <v>1049</v>
      </c>
      <c r="C186" s="105">
        <v>1600</v>
      </c>
      <c r="D186" s="143">
        <v>5480</v>
      </c>
      <c r="E186" s="72">
        <v>1600</v>
      </c>
      <c r="F186" s="82">
        <v>5901</v>
      </c>
      <c r="G186" s="72" t="str">
        <f>VLOOKUP(F186,CFOP[],2,FALSE)</f>
        <v xml:space="preserve">Remessa para industrialização por encomenda </v>
      </c>
      <c r="H186" s="88" t="s">
        <v>1074</v>
      </c>
      <c r="I186" s="76">
        <v>46094</v>
      </c>
      <c r="J186" s="68" t="s">
        <v>359</v>
      </c>
      <c r="K186" s="73"/>
      <c r="L186" s="68" t="s">
        <v>12</v>
      </c>
      <c r="M186" s="68" t="s">
        <v>12</v>
      </c>
    </row>
    <row r="187" spans="1:13" x14ac:dyDescent="0.3">
      <c r="A187" s="229">
        <v>1490</v>
      </c>
      <c r="B187" s="160" t="s">
        <v>1076</v>
      </c>
      <c r="C187" s="105">
        <v>5383</v>
      </c>
      <c r="D187" s="143">
        <v>5481</v>
      </c>
      <c r="E187" s="72">
        <v>1373</v>
      </c>
      <c r="F187" s="82">
        <v>5102</v>
      </c>
      <c r="G187" s="72" t="str">
        <f>VLOOKUP(F187,CFOP[],2,FALSE)</f>
        <v xml:space="preserve">Venda de mercadoria adquirida ou recebida de terceiros </v>
      </c>
      <c r="H187" s="88" t="s">
        <v>1081</v>
      </c>
      <c r="I187" s="76">
        <v>46097</v>
      </c>
      <c r="J187" s="68" t="s">
        <v>359</v>
      </c>
      <c r="K187" s="73"/>
      <c r="L187" s="68" t="s">
        <v>12</v>
      </c>
      <c r="M187" s="68" t="s">
        <v>12</v>
      </c>
    </row>
    <row r="188" spans="1:13" x14ac:dyDescent="0.3">
      <c r="A188" s="229">
        <v>1649</v>
      </c>
      <c r="B188" s="160" t="s">
        <v>1087</v>
      </c>
      <c r="C188" s="105">
        <v>2283.9</v>
      </c>
      <c r="D188" s="143">
        <v>5482</v>
      </c>
      <c r="E188" s="72">
        <v>2283.9</v>
      </c>
      <c r="F188" s="82">
        <v>5102</v>
      </c>
      <c r="G188" s="72" t="str">
        <f>VLOOKUP(F188,CFOP[],2,FALSE)</f>
        <v xml:space="preserve">Venda de mercadoria adquirida ou recebida de terceiros </v>
      </c>
      <c r="H188" s="88" t="s">
        <v>1088</v>
      </c>
      <c r="I188" s="76">
        <v>46097</v>
      </c>
      <c r="J188" s="68" t="s">
        <v>359</v>
      </c>
      <c r="K188" s="73"/>
      <c r="L188" s="68" t="s">
        <v>12</v>
      </c>
      <c r="M188" s="68" t="s">
        <v>12</v>
      </c>
    </row>
    <row r="189" spans="1:13" x14ac:dyDescent="0.3">
      <c r="A189" s="229">
        <v>1555</v>
      </c>
      <c r="B189" s="160" t="s">
        <v>1122</v>
      </c>
      <c r="C189" s="105">
        <v>5669.99</v>
      </c>
      <c r="D189" s="143">
        <v>5483</v>
      </c>
      <c r="E189" s="72">
        <v>3909.99</v>
      </c>
      <c r="F189" s="82">
        <v>5102</v>
      </c>
      <c r="G189" s="72" t="str">
        <f>VLOOKUP(F189,CFOP[],2,FALSE)</f>
        <v xml:space="preserve">Venda de mercadoria adquirida ou recebida de terceiros </v>
      </c>
      <c r="H189" s="88" t="s">
        <v>1123</v>
      </c>
      <c r="I189" s="76">
        <v>46099</v>
      </c>
      <c r="J189" s="68" t="s">
        <v>359</v>
      </c>
      <c r="K189" s="73"/>
      <c r="L189" s="68" t="s">
        <v>12</v>
      </c>
      <c r="M189" s="68" t="s">
        <v>12</v>
      </c>
    </row>
    <row r="190" spans="1:13" x14ac:dyDescent="0.3">
      <c r="A190" s="229">
        <v>1529</v>
      </c>
      <c r="B190" s="160" t="s">
        <v>438</v>
      </c>
      <c r="C190" s="105">
        <v>2204.86</v>
      </c>
      <c r="D190" s="143">
        <v>5484</v>
      </c>
      <c r="E190" s="72">
        <v>2204.86</v>
      </c>
      <c r="F190" s="82">
        <v>5102</v>
      </c>
      <c r="G190" s="72" t="str">
        <f>VLOOKUP(F190,CFOP[],2,FALSE)</f>
        <v xml:space="preserve">Venda de mercadoria adquirida ou recebida de terceiros </v>
      </c>
      <c r="H190" s="88" t="s">
        <v>1146</v>
      </c>
      <c r="I190" s="76">
        <v>46100</v>
      </c>
      <c r="J190" s="68" t="s">
        <v>359</v>
      </c>
      <c r="K190" s="73"/>
      <c r="L190" s="68" t="s">
        <v>12</v>
      </c>
      <c r="M190" s="68" t="s">
        <v>12</v>
      </c>
    </row>
    <row r="191" spans="1:13" x14ac:dyDescent="0.3">
      <c r="A191" s="229">
        <v>1651</v>
      </c>
      <c r="B191" s="160" t="s">
        <v>438</v>
      </c>
      <c r="C191" s="105">
        <v>1014.25</v>
      </c>
      <c r="D191" s="143">
        <v>5485</v>
      </c>
      <c r="E191" s="72">
        <v>1014.25</v>
      </c>
      <c r="F191" s="82">
        <v>5102</v>
      </c>
      <c r="G191" s="72" t="str">
        <f>VLOOKUP(F191,CFOP[],2,FALSE)</f>
        <v xml:space="preserve">Venda de mercadoria adquirida ou recebida de terceiros </v>
      </c>
      <c r="H191" s="88" t="s">
        <v>1147</v>
      </c>
      <c r="I191" s="76">
        <v>46100</v>
      </c>
      <c r="J191" s="68" t="s">
        <v>359</v>
      </c>
      <c r="K191" s="73"/>
      <c r="L191" s="68" t="s">
        <v>12</v>
      </c>
      <c r="M191" s="68" t="s">
        <v>12</v>
      </c>
    </row>
    <row r="192" spans="1:13" x14ac:dyDescent="0.3">
      <c r="A192" s="229" t="s">
        <v>15</v>
      </c>
      <c r="B192" s="160" t="s">
        <v>459</v>
      </c>
      <c r="C192" s="105">
        <v>2240</v>
      </c>
      <c r="D192" s="143">
        <v>5486</v>
      </c>
      <c r="E192" s="72">
        <v>2240</v>
      </c>
      <c r="F192" s="82">
        <v>5901</v>
      </c>
      <c r="G192" s="72" t="str">
        <f>VLOOKUP(F192,CFOP[],2,FALSE)</f>
        <v xml:space="preserve">Remessa para industrialização por encomenda </v>
      </c>
      <c r="H192" s="88" t="s">
        <v>1148</v>
      </c>
      <c r="I192" s="76">
        <v>46100</v>
      </c>
      <c r="J192" s="68" t="s">
        <v>359</v>
      </c>
      <c r="K192" s="73"/>
      <c r="L192" s="68" t="s">
        <v>12</v>
      </c>
      <c r="M192" s="68" t="s">
        <v>12</v>
      </c>
    </row>
    <row r="193" spans="1:13" x14ac:dyDescent="0.3">
      <c r="A193" s="229" t="s">
        <v>15</v>
      </c>
      <c r="B193" s="160" t="s">
        <v>1049</v>
      </c>
      <c r="C193" s="105">
        <v>1600</v>
      </c>
      <c r="D193" s="143">
        <v>5487</v>
      </c>
      <c r="E193" s="72">
        <v>1600</v>
      </c>
      <c r="F193" s="82">
        <v>5901</v>
      </c>
      <c r="G193" s="72" t="str">
        <f>VLOOKUP(F193,CFOP[],2,FALSE)</f>
        <v xml:space="preserve">Remessa para industrialização por encomenda </v>
      </c>
      <c r="H193" s="88" t="s">
        <v>1149</v>
      </c>
      <c r="I193" s="76">
        <v>46100</v>
      </c>
      <c r="J193" s="68" t="s">
        <v>359</v>
      </c>
      <c r="K193" s="73"/>
      <c r="L193" s="68" t="s">
        <v>12</v>
      </c>
      <c r="M193" s="68" t="s">
        <v>12</v>
      </c>
    </row>
    <row r="194" spans="1:13" x14ac:dyDescent="0.3">
      <c r="A194" s="229">
        <v>1682</v>
      </c>
      <c r="B194" s="160" t="s">
        <v>572</v>
      </c>
      <c r="C194" s="105">
        <v>118</v>
      </c>
      <c r="D194" s="143">
        <v>5488</v>
      </c>
      <c r="E194" s="72">
        <v>118</v>
      </c>
      <c r="F194" s="82">
        <v>5102</v>
      </c>
      <c r="G194" s="72" t="str">
        <f>VLOOKUP(F194,CFOP[],2,FALSE)</f>
        <v xml:space="preserve">Venda de mercadoria adquirida ou recebida de terceiros </v>
      </c>
      <c r="H194" s="88" t="s">
        <v>1162</v>
      </c>
      <c r="I194" s="76">
        <v>46101</v>
      </c>
      <c r="J194" s="68" t="s">
        <v>359</v>
      </c>
      <c r="K194" s="73"/>
      <c r="L194" s="68" t="s">
        <v>12</v>
      </c>
      <c r="M194" s="68" t="s">
        <v>12</v>
      </c>
    </row>
    <row r="195" spans="1:13" x14ac:dyDescent="0.3">
      <c r="A195" s="229">
        <v>1550</v>
      </c>
      <c r="B195" s="160" t="s">
        <v>1163</v>
      </c>
      <c r="C195" s="105">
        <v>11100.34</v>
      </c>
      <c r="D195" s="143">
        <v>5489</v>
      </c>
      <c r="E195" s="72">
        <v>11100.34</v>
      </c>
      <c r="F195" s="82">
        <v>6102</v>
      </c>
      <c r="G195" s="72" t="str">
        <f>VLOOKUP(F195,CFOP[],2,FALSE)</f>
        <v xml:space="preserve">Venda de mercadoria adquirida ou recebida de terceiros </v>
      </c>
      <c r="H195" s="88" t="s">
        <v>1178</v>
      </c>
      <c r="I195" s="76">
        <v>46104</v>
      </c>
      <c r="J195" s="68" t="s">
        <v>359</v>
      </c>
      <c r="K195" s="73"/>
      <c r="L195" s="68" t="s">
        <v>12</v>
      </c>
      <c r="M195" s="68" t="s">
        <v>12</v>
      </c>
    </row>
    <row r="196" spans="1:13" x14ac:dyDescent="0.3">
      <c r="A196" s="229" t="s">
        <v>15</v>
      </c>
      <c r="B196" s="160" t="s">
        <v>1049</v>
      </c>
      <c r="C196" s="105">
        <v>13570</v>
      </c>
      <c r="D196" s="143">
        <v>5490</v>
      </c>
      <c r="E196" s="72">
        <v>13570</v>
      </c>
      <c r="F196" s="82">
        <v>5901</v>
      </c>
      <c r="G196" s="72" t="str">
        <f>VLOOKUP(F196,CFOP[],2,FALSE)</f>
        <v xml:space="preserve">Remessa para industrialização por encomenda </v>
      </c>
      <c r="H196" s="88" t="s">
        <v>1168</v>
      </c>
      <c r="I196" s="76">
        <v>46101</v>
      </c>
      <c r="J196" s="68" t="s">
        <v>359</v>
      </c>
      <c r="K196" s="73"/>
      <c r="L196" s="68" t="s">
        <v>12</v>
      </c>
      <c r="M196" s="68" t="s">
        <v>12</v>
      </c>
    </row>
    <row r="197" spans="1:13" x14ac:dyDescent="0.3">
      <c r="A197" s="229">
        <v>1528</v>
      </c>
      <c r="B197" s="160" t="s">
        <v>715</v>
      </c>
      <c r="C197" s="105">
        <v>12621.2</v>
      </c>
      <c r="D197" s="143">
        <v>5491</v>
      </c>
      <c r="E197" s="72">
        <v>11671.2</v>
      </c>
      <c r="F197" s="82">
        <v>5102</v>
      </c>
      <c r="G197" s="72" t="str">
        <f>VLOOKUP(F197,CFOP[],2,FALSE)</f>
        <v xml:space="preserve">Venda de mercadoria adquirida ou recebida de terceiros </v>
      </c>
      <c r="H197" s="88" t="s">
        <v>1172</v>
      </c>
      <c r="I197" s="76">
        <v>46101</v>
      </c>
      <c r="J197" s="68" t="s">
        <v>359</v>
      </c>
      <c r="K197" s="73"/>
      <c r="L197" s="68" t="s">
        <v>12</v>
      </c>
      <c r="M197" s="68" t="s">
        <v>12</v>
      </c>
    </row>
    <row r="198" spans="1:13" x14ac:dyDescent="0.3">
      <c r="A198" s="229">
        <v>1694</v>
      </c>
      <c r="B198" s="160" t="s">
        <v>473</v>
      </c>
      <c r="C198" s="105">
        <v>2805.6</v>
      </c>
      <c r="D198" s="143">
        <v>5492</v>
      </c>
      <c r="E198" s="72">
        <v>1915.6</v>
      </c>
      <c r="F198" s="82">
        <v>5102</v>
      </c>
      <c r="G198" s="72" t="str">
        <f>VLOOKUP(F198,CFOP[],2,FALSE)</f>
        <v xml:space="preserve">Venda de mercadoria adquirida ou recebida de terceiros </v>
      </c>
      <c r="H198" s="88" t="s">
        <v>1194</v>
      </c>
      <c r="I198" s="76">
        <v>46106</v>
      </c>
      <c r="J198" s="68" t="s">
        <v>359</v>
      </c>
      <c r="K198" s="73"/>
      <c r="L198" s="68" t="s">
        <v>12</v>
      </c>
      <c r="M198" s="68" t="s">
        <v>12</v>
      </c>
    </row>
    <row r="199" spans="1:13" x14ac:dyDescent="0.3">
      <c r="A199" s="229">
        <v>1603</v>
      </c>
      <c r="B199" s="160" t="s">
        <v>1187</v>
      </c>
      <c r="C199" s="105">
        <v>24329.08</v>
      </c>
      <c r="D199" s="143">
        <v>5493</v>
      </c>
      <c r="E199" s="72">
        <v>15541.86</v>
      </c>
      <c r="F199" s="82">
        <v>5102</v>
      </c>
      <c r="G199" s="72" t="str">
        <f>VLOOKUP(F199,CFOP[],2,FALSE)</f>
        <v xml:space="preserve">Venda de mercadoria adquirida ou recebida de terceiros </v>
      </c>
      <c r="H199" s="88" t="s">
        <v>1188</v>
      </c>
      <c r="I199" s="76">
        <v>46105</v>
      </c>
      <c r="J199" s="68" t="s">
        <v>359</v>
      </c>
      <c r="K199" s="73"/>
      <c r="L199" s="68" t="s">
        <v>12</v>
      </c>
      <c r="M199" s="68" t="s">
        <v>12</v>
      </c>
    </row>
    <row r="200" spans="1:13" x14ac:dyDescent="0.3">
      <c r="A200" s="229">
        <v>1691</v>
      </c>
      <c r="B200" s="160" t="s">
        <v>1173</v>
      </c>
      <c r="C200" s="105">
        <v>760.8</v>
      </c>
      <c r="D200" s="143">
        <v>5494</v>
      </c>
      <c r="E200" s="72">
        <v>760.8</v>
      </c>
      <c r="F200" s="82">
        <v>5102</v>
      </c>
      <c r="G200" s="72" t="str">
        <f>VLOOKUP(F200,CFOP[],2,FALSE)</f>
        <v xml:space="preserve">Venda de mercadoria adquirida ou recebida de terceiros </v>
      </c>
      <c r="H200" s="88" t="s">
        <v>1326</v>
      </c>
      <c r="I200" s="76">
        <v>46111</v>
      </c>
      <c r="J200" s="68" t="s">
        <v>359</v>
      </c>
      <c r="K200" s="73"/>
      <c r="L200" s="68" t="s">
        <v>12</v>
      </c>
      <c r="M200" s="68" t="s">
        <v>12</v>
      </c>
    </row>
    <row r="201" spans="1:13" x14ac:dyDescent="0.3">
      <c r="A201" s="229" t="s">
        <v>15</v>
      </c>
      <c r="B201" s="160" t="s">
        <v>1049</v>
      </c>
      <c r="C201" s="105">
        <v>14340</v>
      </c>
      <c r="D201" s="143">
        <v>5495</v>
      </c>
      <c r="E201" s="72">
        <v>14340</v>
      </c>
      <c r="F201" s="82">
        <v>5901</v>
      </c>
      <c r="G201" s="72" t="str">
        <f>VLOOKUP(F201,CFOP[],2,FALSE)</f>
        <v xml:space="preserve">Remessa para industrialização por encomenda </v>
      </c>
      <c r="H201" s="88" t="s">
        <v>1327</v>
      </c>
      <c r="I201" s="76">
        <v>46112</v>
      </c>
      <c r="J201" s="68" t="s">
        <v>359</v>
      </c>
      <c r="K201" s="73"/>
      <c r="L201" s="68" t="s">
        <v>12</v>
      </c>
      <c r="M201" s="68" t="s">
        <v>12</v>
      </c>
    </row>
    <row r="202" spans="1:13" x14ac:dyDescent="0.3">
      <c r="A202" s="229">
        <v>1594</v>
      </c>
      <c r="B202" s="160" t="s">
        <v>432</v>
      </c>
      <c r="C202" s="105">
        <v>2079.3000000000002</v>
      </c>
      <c r="D202" s="143">
        <v>5496</v>
      </c>
      <c r="E202" s="72">
        <v>2079.3000000000002</v>
      </c>
      <c r="F202" s="82">
        <v>5102</v>
      </c>
      <c r="G202" s="72" t="str">
        <f>VLOOKUP(F202,CFOP[],2,FALSE)</f>
        <v xml:space="preserve">Venda de mercadoria adquirida ou recebida de terceiros </v>
      </c>
      <c r="H202" s="88" t="s">
        <v>1328</v>
      </c>
      <c r="I202" s="76">
        <v>46112</v>
      </c>
      <c r="J202" s="68" t="s">
        <v>359</v>
      </c>
      <c r="K202" s="73"/>
      <c r="L202" s="68" t="s">
        <v>12</v>
      </c>
      <c r="M202" s="68" t="s">
        <v>12</v>
      </c>
    </row>
    <row r="203" spans="1:13" x14ac:dyDescent="0.3">
      <c r="A203" s="229">
        <v>1655</v>
      </c>
      <c r="B203" s="160" t="s">
        <v>432</v>
      </c>
      <c r="C203" s="105">
        <v>8022.55</v>
      </c>
      <c r="D203" s="143">
        <v>5497</v>
      </c>
      <c r="E203" s="72">
        <v>8022.55</v>
      </c>
      <c r="F203" s="82">
        <v>5102</v>
      </c>
      <c r="G203" s="72" t="str">
        <f>VLOOKUP(F203,CFOP[],2,FALSE)</f>
        <v xml:space="preserve">Venda de mercadoria adquirida ou recebida de terceiros </v>
      </c>
      <c r="H203" s="88" t="s">
        <v>1329</v>
      </c>
      <c r="I203" s="76">
        <v>46112</v>
      </c>
      <c r="J203" s="68" t="s">
        <v>359</v>
      </c>
      <c r="K203" s="73"/>
      <c r="L203" s="68" t="s">
        <v>12</v>
      </c>
      <c r="M203" s="68" t="s">
        <v>12</v>
      </c>
    </row>
    <row r="204" spans="1:13" x14ac:dyDescent="0.3">
      <c r="A204" s="229">
        <v>1557</v>
      </c>
      <c r="B204" s="160" t="s">
        <v>1331</v>
      </c>
      <c r="C204" s="105">
        <v>1585.5</v>
      </c>
      <c r="D204" s="143">
        <v>5498</v>
      </c>
      <c r="E204" s="72">
        <v>695.5</v>
      </c>
      <c r="F204" s="82">
        <v>5102</v>
      </c>
      <c r="G204" s="72" t="str">
        <f>VLOOKUP(F204,CFOP[],2,FALSE)</f>
        <v xml:space="preserve">Venda de mercadoria adquirida ou recebida de terceiros </v>
      </c>
      <c r="H204" s="88" t="s">
        <v>1333</v>
      </c>
      <c r="I204" s="76">
        <v>46112</v>
      </c>
      <c r="J204" s="68" t="s">
        <v>359</v>
      </c>
      <c r="K204" s="73"/>
      <c r="L204" s="68" t="s">
        <v>12</v>
      </c>
      <c r="M204" s="68" t="s">
        <v>12</v>
      </c>
    </row>
    <row r="205" spans="1:13" x14ac:dyDescent="0.3">
      <c r="A205" s="229">
        <v>1525</v>
      </c>
      <c r="B205" s="160" t="s">
        <v>777</v>
      </c>
      <c r="C205" s="105">
        <v>2166.1999999999998</v>
      </c>
      <c r="D205" s="143">
        <v>5499</v>
      </c>
      <c r="E205" s="72">
        <v>2166.1999999999998</v>
      </c>
      <c r="F205" s="82">
        <v>5102</v>
      </c>
      <c r="G205" s="72" t="str">
        <f>VLOOKUP(F205,CFOP[],2,FALSE)</f>
        <v xml:space="preserve">Venda de mercadoria adquirida ou recebida de terceiros </v>
      </c>
      <c r="H205" s="88" t="s">
        <v>1334</v>
      </c>
      <c r="I205" s="76">
        <v>46113</v>
      </c>
      <c r="J205" s="68" t="s">
        <v>359</v>
      </c>
      <c r="K205" s="73"/>
      <c r="L205" s="68"/>
      <c r="M205" s="68"/>
    </row>
    <row r="206" spans="1:13" x14ac:dyDescent="0.3">
      <c r="A206" s="229">
        <v>1433</v>
      </c>
      <c r="B206" s="160" t="s">
        <v>712</v>
      </c>
      <c r="C206" s="105">
        <v>8645.25</v>
      </c>
      <c r="D206" s="143">
        <v>5500</v>
      </c>
      <c r="E206" s="72">
        <v>7119.25</v>
      </c>
      <c r="F206" s="82">
        <v>5102</v>
      </c>
      <c r="G206" s="72" t="str">
        <f>VLOOKUP(F206,CFOP[],2,FALSE)</f>
        <v xml:space="preserve">Venda de mercadoria adquirida ou recebida de terceiros </v>
      </c>
      <c r="H206" s="88" t="s">
        <v>1346</v>
      </c>
      <c r="I206" s="76">
        <v>46118</v>
      </c>
      <c r="J206" s="68" t="s">
        <v>359</v>
      </c>
      <c r="K206" s="73"/>
      <c r="L206" s="68"/>
      <c r="M206" s="68"/>
    </row>
    <row r="207" spans="1:13" x14ac:dyDescent="0.3">
      <c r="A207" s="229">
        <v>1421</v>
      </c>
      <c r="B207" s="160" t="s">
        <v>501</v>
      </c>
      <c r="C207" s="105">
        <v>3436.24</v>
      </c>
      <c r="D207" s="143">
        <v>5501</v>
      </c>
      <c r="E207" s="72">
        <v>2486.2399999999998</v>
      </c>
      <c r="F207" s="82">
        <v>5102</v>
      </c>
      <c r="G207" s="72" t="str">
        <f>VLOOKUP(F207,CFOP[],2,FALSE)</f>
        <v xml:space="preserve">Venda de mercadoria adquirida ou recebida de terceiros </v>
      </c>
      <c r="H207" s="88" t="s">
        <v>1348</v>
      </c>
      <c r="I207" s="76">
        <v>46118</v>
      </c>
      <c r="J207" s="68" t="s">
        <v>359</v>
      </c>
      <c r="K207" s="73"/>
      <c r="L207" s="68"/>
      <c r="M207" s="68"/>
    </row>
    <row r="208" spans="1:13" x14ac:dyDescent="0.3">
      <c r="A208" s="229">
        <v>1702</v>
      </c>
      <c r="B208" s="160" t="s">
        <v>1361</v>
      </c>
      <c r="C208" s="105">
        <v>1900</v>
      </c>
      <c r="D208" s="143">
        <v>5502</v>
      </c>
      <c r="E208" s="72">
        <v>1900</v>
      </c>
      <c r="F208" s="82">
        <v>6102</v>
      </c>
      <c r="G208" s="72" t="str">
        <f>VLOOKUP(F208,CFOP[],2,FALSE)</f>
        <v xml:space="preserve">Venda de mercadoria adquirida ou recebida de terceiros </v>
      </c>
      <c r="H208" s="88" t="s">
        <v>1362</v>
      </c>
      <c r="I208" s="76">
        <v>46119</v>
      </c>
      <c r="J208" s="68" t="s">
        <v>359</v>
      </c>
      <c r="K208" s="73"/>
      <c r="L208" s="68"/>
      <c r="M208" s="68"/>
    </row>
    <row r="209" spans="1:13" x14ac:dyDescent="0.3">
      <c r="A209" s="229">
        <v>1718</v>
      </c>
      <c r="B209" s="160" t="s">
        <v>1366</v>
      </c>
      <c r="C209" s="105">
        <v>2163.1</v>
      </c>
      <c r="D209" s="143">
        <v>5503</v>
      </c>
      <c r="E209" s="72">
        <v>1273.0999999999999</v>
      </c>
      <c r="F209" s="82">
        <v>5102</v>
      </c>
      <c r="G209" s="72" t="str">
        <f>VLOOKUP(F209,CFOP[],2,FALSE)</f>
        <v xml:space="preserve">Venda de mercadoria adquirida ou recebida de terceiros </v>
      </c>
      <c r="H209" s="88" t="s">
        <v>1367</v>
      </c>
      <c r="I209" s="76">
        <v>46119</v>
      </c>
      <c r="J209" s="68" t="s">
        <v>359</v>
      </c>
      <c r="K209" s="73"/>
      <c r="L209" s="68"/>
      <c r="M209" s="68"/>
    </row>
    <row r="210" spans="1:13" x14ac:dyDescent="0.3">
      <c r="A210" s="229">
        <v>1448</v>
      </c>
      <c r="B210" s="160" t="s">
        <v>1406</v>
      </c>
      <c r="C210" s="105">
        <v>11671.7</v>
      </c>
      <c r="D210" s="143">
        <v>5504</v>
      </c>
      <c r="E210" s="72">
        <v>7771.1</v>
      </c>
      <c r="F210" s="82">
        <v>5102</v>
      </c>
      <c r="G210" s="72" t="str">
        <f>VLOOKUP(F210,CFOP[],2,FALSE)</f>
        <v xml:space="preserve">Venda de mercadoria adquirida ou recebida de terceiros </v>
      </c>
      <c r="H210" s="88" t="s">
        <v>1407</v>
      </c>
      <c r="I210" s="76">
        <v>46119</v>
      </c>
      <c r="J210" s="68" t="s">
        <v>359</v>
      </c>
      <c r="K210" s="73"/>
      <c r="L210" s="68"/>
      <c r="M210" s="68"/>
    </row>
    <row r="211" spans="1:13" x14ac:dyDescent="0.3">
      <c r="A211" s="229">
        <v>1674</v>
      </c>
      <c r="B211" s="160" t="s">
        <v>618</v>
      </c>
      <c r="C211" s="105">
        <v>1580.3</v>
      </c>
      <c r="D211" s="143">
        <v>5505</v>
      </c>
      <c r="E211" s="72">
        <v>829.8</v>
      </c>
      <c r="F211" s="82">
        <v>5102</v>
      </c>
      <c r="G211" s="72" t="str">
        <f>VLOOKUP(F211,CFOP[],2,FALSE)</f>
        <v xml:space="preserve">Venda de mercadoria adquirida ou recebida de terceiros </v>
      </c>
      <c r="H211" s="88" t="s">
        <v>1507</v>
      </c>
      <c r="I211" s="76">
        <v>46119</v>
      </c>
      <c r="J211" s="68" t="s">
        <v>57</v>
      </c>
      <c r="K211" s="73"/>
      <c r="L211" s="68"/>
      <c r="M211" s="68"/>
    </row>
    <row r="212" spans="1:13" x14ac:dyDescent="0.3">
      <c r="A212" s="229">
        <v>1415</v>
      </c>
      <c r="B212" s="160" t="s">
        <v>597</v>
      </c>
      <c r="C212" s="105">
        <v>2953.8</v>
      </c>
      <c r="D212" s="143">
        <v>5506</v>
      </c>
      <c r="E212" s="72">
        <v>2103.8000000000002</v>
      </c>
      <c r="F212" s="82">
        <v>5102</v>
      </c>
      <c r="G212" s="72" t="str">
        <f>VLOOKUP(F212,CFOP[],2,FALSE)</f>
        <v xml:space="preserve">Venda de mercadoria adquirida ou recebida de terceiros </v>
      </c>
      <c r="H212" s="88" t="s">
        <v>1510</v>
      </c>
      <c r="I212" s="76">
        <v>46119</v>
      </c>
      <c r="J212" s="68" t="s">
        <v>359</v>
      </c>
      <c r="K212" s="73"/>
      <c r="L212" s="68"/>
      <c r="M212" s="68"/>
    </row>
    <row r="213" spans="1:13" x14ac:dyDescent="0.3">
      <c r="A213" s="229">
        <v>1747</v>
      </c>
      <c r="B213" s="160" t="s">
        <v>1056</v>
      </c>
      <c r="C213" s="105">
        <v>930</v>
      </c>
      <c r="D213" s="143">
        <v>5507</v>
      </c>
      <c r="E213" s="72">
        <v>930</v>
      </c>
      <c r="F213" s="82">
        <v>5102</v>
      </c>
      <c r="G213" s="72" t="str">
        <f>VLOOKUP(F213,CFOP[],2,FALSE)</f>
        <v xml:space="preserve">Venda de mercadoria adquirida ou recebida de terceiros </v>
      </c>
      <c r="H213" s="88" t="s">
        <v>1515</v>
      </c>
      <c r="I213" s="76">
        <v>46119</v>
      </c>
      <c r="J213" s="68" t="s">
        <v>359</v>
      </c>
      <c r="K213" s="73"/>
      <c r="L213" s="68"/>
      <c r="M213" s="68"/>
    </row>
    <row r="214" spans="1:13" x14ac:dyDescent="0.3">
      <c r="A214" s="229">
        <v>1501</v>
      </c>
      <c r="B214" s="160" t="s">
        <v>1539</v>
      </c>
      <c r="C214" s="105">
        <v>15138.5</v>
      </c>
      <c r="D214" s="143">
        <v>5508</v>
      </c>
      <c r="E214" s="72">
        <v>5218.5</v>
      </c>
      <c r="F214" s="82">
        <v>6102</v>
      </c>
      <c r="G214" s="72" t="str">
        <f>VLOOKUP(F214,CFOP[],2,FALSE)</f>
        <v xml:space="preserve">Venda de mercadoria adquirida ou recebida de terceiros </v>
      </c>
      <c r="H214" s="88" t="s">
        <v>1540</v>
      </c>
      <c r="I214" s="76">
        <v>46122</v>
      </c>
      <c r="J214" s="68" t="s">
        <v>359</v>
      </c>
      <c r="K214" s="73"/>
      <c r="L214" s="68"/>
      <c r="M214" s="68"/>
    </row>
    <row r="215" spans="1:13" x14ac:dyDescent="0.3">
      <c r="A215" s="229">
        <v>1744</v>
      </c>
      <c r="B215" s="160" t="s">
        <v>432</v>
      </c>
      <c r="C215" s="105">
        <v>6992.2</v>
      </c>
      <c r="D215" s="143">
        <v>5509</v>
      </c>
      <c r="E215" s="72">
        <v>6992.2</v>
      </c>
      <c r="F215" s="82">
        <v>5102</v>
      </c>
      <c r="G215" s="72" t="str">
        <f>VLOOKUP(F215,CFOP[],2,FALSE)</f>
        <v xml:space="preserve">Venda de mercadoria adquirida ou recebida de terceiros </v>
      </c>
      <c r="H215" s="88" t="s">
        <v>1621</v>
      </c>
      <c r="I215" s="76">
        <v>46128</v>
      </c>
      <c r="J215" s="68" t="s">
        <v>359</v>
      </c>
      <c r="K215" s="73"/>
      <c r="L215" s="68"/>
      <c r="M215" s="68"/>
    </row>
    <row r="216" spans="1:13" x14ac:dyDescent="0.3">
      <c r="A216" s="229">
        <v>1345</v>
      </c>
      <c r="B216" s="160" t="s">
        <v>438</v>
      </c>
      <c r="C216" s="105">
        <v>60590</v>
      </c>
      <c r="D216" s="143">
        <v>5510</v>
      </c>
      <c r="E216" s="72">
        <v>52450</v>
      </c>
      <c r="F216" s="82">
        <v>5102</v>
      </c>
      <c r="G216" s="72" t="str">
        <f>VLOOKUP(F216,CFOP[],2,FALSE)</f>
        <v xml:space="preserve">Venda de mercadoria adquirida ou recebida de terceiros </v>
      </c>
      <c r="H216" s="88" t="s">
        <v>1625</v>
      </c>
      <c r="I216" s="76">
        <v>46128</v>
      </c>
      <c r="J216" s="68" t="s">
        <v>359</v>
      </c>
      <c r="K216" s="73"/>
      <c r="L216" s="68"/>
      <c r="M216" s="68"/>
    </row>
    <row r="217" spans="1:13" x14ac:dyDescent="0.3">
      <c r="A217" s="229">
        <v>1479</v>
      </c>
      <c r="B217" s="160" t="s">
        <v>1631</v>
      </c>
      <c r="C217" s="105">
        <v>4730</v>
      </c>
      <c r="D217" s="143">
        <v>5511</v>
      </c>
      <c r="E217" s="72">
        <v>380</v>
      </c>
      <c r="F217" s="82">
        <v>5405</v>
      </c>
      <c r="G217" s="72" t="str">
        <f>VLOOKUP(F217,CFOP[],2,FALSE)</f>
        <v xml:space="preserve">Venda de mercadoria adquirida ou recebida de terceiros, sujeita ao regime de substituição tributária, cujo imposto já foi retido anteriormente ST </v>
      </c>
      <c r="H217" s="88" t="s">
        <v>1632</v>
      </c>
      <c r="I217" s="76">
        <v>46128</v>
      </c>
      <c r="J217" s="68" t="s">
        <v>359</v>
      </c>
      <c r="K217" s="73"/>
      <c r="L217" s="68"/>
      <c r="M217" s="68"/>
    </row>
    <row r="218" spans="1:13" x14ac:dyDescent="0.3">
      <c r="A218" s="229">
        <v>1091</v>
      </c>
      <c r="B218" s="160" t="s">
        <v>718</v>
      </c>
      <c r="C218" s="105">
        <v>5550</v>
      </c>
      <c r="D218" s="143">
        <v>5512</v>
      </c>
      <c r="E218" s="72">
        <v>2170</v>
      </c>
      <c r="F218" s="82">
        <v>5102</v>
      </c>
      <c r="G218" s="72" t="str">
        <f>VLOOKUP(F218,CFOP[],2,FALSE)</f>
        <v xml:space="preserve">Venda de mercadoria adquirida ou recebida de terceiros </v>
      </c>
      <c r="H218" s="88" t="s">
        <v>1634</v>
      </c>
      <c r="I218" s="76">
        <v>46128</v>
      </c>
      <c r="J218" s="68" t="s">
        <v>359</v>
      </c>
      <c r="K218" s="73"/>
      <c r="L218" s="68"/>
      <c r="M218" s="68"/>
    </row>
    <row r="219" spans="1:13" x14ac:dyDescent="0.3">
      <c r="A219" s="229">
        <v>1064</v>
      </c>
      <c r="B219" s="160" t="s">
        <v>718</v>
      </c>
      <c r="C219" s="105">
        <v>3170</v>
      </c>
      <c r="D219" s="143">
        <v>5513</v>
      </c>
      <c r="E219" s="72">
        <v>930</v>
      </c>
      <c r="F219" s="82">
        <v>5102</v>
      </c>
      <c r="G219" s="72" t="str">
        <f>VLOOKUP(F219,CFOP[],2,FALSE)</f>
        <v xml:space="preserve">Venda de mercadoria adquirida ou recebida de terceiros </v>
      </c>
      <c r="H219" s="88" t="s">
        <v>1636</v>
      </c>
      <c r="I219" s="76">
        <v>46128</v>
      </c>
      <c r="J219" s="68" t="s">
        <v>359</v>
      </c>
      <c r="K219" s="73"/>
      <c r="L219" s="68"/>
      <c r="M219" s="68"/>
    </row>
    <row r="220" spans="1:13" x14ac:dyDescent="0.3">
      <c r="A220" s="229">
        <v>1648</v>
      </c>
      <c r="B220" s="160" t="s">
        <v>1085</v>
      </c>
      <c r="C220" s="105">
        <v>12023.13</v>
      </c>
      <c r="D220" s="143">
        <v>5514</v>
      </c>
      <c r="E220" s="72">
        <v>12023.13</v>
      </c>
      <c r="F220" s="82">
        <v>5102</v>
      </c>
      <c r="G220" s="72" t="str">
        <f>VLOOKUP(F220,CFOP[],2,FALSE)</f>
        <v xml:space="preserve">Venda de mercadoria adquirida ou recebida de terceiros </v>
      </c>
      <c r="H220" s="88" t="s">
        <v>1638</v>
      </c>
      <c r="I220" s="76">
        <v>46128</v>
      </c>
      <c r="J220" s="68" t="s">
        <v>359</v>
      </c>
      <c r="K220" s="73"/>
      <c r="L220" s="68"/>
      <c r="M220" s="68"/>
    </row>
    <row r="221" spans="1:13" x14ac:dyDescent="0.3">
      <c r="A221" s="229">
        <v>1512</v>
      </c>
      <c r="B221" s="160" t="s">
        <v>1555</v>
      </c>
      <c r="C221" s="105">
        <v>14338</v>
      </c>
      <c r="D221" s="143">
        <v>5515</v>
      </c>
      <c r="E221" s="72">
        <v>9523</v>
      </c>
      <c r="F221" s="82">
        <v>5102</v>
      </c>
      <c r="G221" s="72" t="str">
        <f>VLOOKUP(F221,CFOP[],2,FALSE)</f>
        <v xml:space="preserve">Venda de mercadoria adquirida ou recebida de terceiros </v>
      </c>
      <c r="H221" s="88" t="s">
        <v>1640</v>
      </c>
      <c r="I221" s="76">
        <v>46129</v>
      </c>
      <c r="J221" s="68" t="s">
        <v>359</v>
      </c>
      <c r="K221" s="73"/>
      <c r="L221" s="68"/>
      <c r="M221" s="68"/>
    </row>
    <row r="222" spans="1:13" x14ac:dyDescent="0.3">
      <c r="A222" s="229">
        <v>1701</v>
      </c>
      <c r="B222" s="160" t="s">
        <v>1555</v>
      </c>
      <c r="C222" s="105">
        <v>14338</v>
      </c>
      <c r="D222" s="143">
        <v>5516</v>
      </c>
      <c r="E222" s="72">
        <v>9523</v>
      </c>
      <c r="F222" s="82">
        <v>5102</v>
      </c>
      <c r="G222" s="72" t="str">
        <f>VLOOKUP(F222,CFOP[],2,FALSE)</f>
        <v xml:space="preserve">Venda de mercadoria adquirida ou recebida de terceiros </v>
      </c>
      <c r="H222" s="88" t="s">
        <v>1643</v>
      </c>
      <c r="I222" s="76">
        <v>46129</v>
      </c>
      <c r="J222" s="68" t="s">
        <v>359</v>
      </c>
      <c r="K222" s="73"/>
      <c r="L222" s="68"/>
      <c r="M222" s="68"/>
    </row>
    <row r="223" spans="1:13" x14ac:dyDescent="0.3">
      <c r="A223" s="229">
        <v>1738</v>
      </c>
      <c r="B223" s="160" t="s">
        <v>444</v>
      </c>
      <c r="C223" s="105">
        <v>9360</v>
      </c>
      <c r="D223" s="143">
        <v>5517</v>
      </c>
      <c r="E223" s="72">
        <v>9360</v>
      </c>
      <c r="F223" s="82">
        <v>5102</v>
      </c>
      <c r="G223" s="72" t="str">
        <f>VLOOKUP(F223,CFOP[],2,FALSE)</f>
        <v xml:space="preserve">Venda de mercadoria adquirida ou recebida de terceiros </v>
      </c>
      <c r="H223" s="88" t="s">
        <v>1667</v>
      </c>
      <c r="I223" s="76">
        <v>46129</v>
      </c>
      <c r="J223" s="68" t="s">
        <v>359</v>
      </c>
      <c r="K223" s="73"/>
      <c r="L223" s="68"/>
      <c r="M223" s="68"/>
    </row>
    <row r="224" spans="1:13" x14ac:dyDescent="0.3">
      <c r="A224" s="229">
        <v>1749</v>
      </c>
      <c r="B224" s="160" t="s">
        <v>1668</v>
      </c>
      <c r="C224" s="105">
        <v>1240</v>
      </c>
      <c r="D224" s="143">
        <v>5518</v>
      </c>
      <c r="E224" s="72">
        <v>650</v>
      </c>
      <c r="F224" s="82">
        <v>5102</v>
      </c>
      <c r="G224" s="72" t="str">
        <f>VLOOKUP(F224,CFOP[],2,FALSE)</f>
        <v xml:space="preserve">Venda de mercadoria adquirida ou recebida de terceiros </v>
      </c>
      <c r="H224" s="88" t="s">
        <v>1669</v>
      </c>
      <c r="I224" s="76">
        <v>46129</v>
      </c>
      <c r="J224" s="68" t="s">
        <v>359</v>
      </c>
      <c r="K224" s="73"/>
      <c r="L224" s="68"/>
      <c r="M224" s="68"/>
    </row>
    <row r="225" spans="1:13" x14ac:dyDescent="0.3">
      <c r="A225" s="229">
        <v>1179</v>
      </c>
      <c r="B225" s="160" t="s">
        <v>501</v>
      </c>
      <c r="C225" s="105">
        <v>4470</v>
      </c>
      <c r="D225" s="143">
        <v>5519</v>
      </c>
      <c r="E225" s="72">
        <v>3190</v>
      </c>
      <c r="F225" s="82">
        <v>5102</v>
      </c>
      <c r="G225" s="72" t="str">
        <f>VLOOKUP(F225,CFOP[],2,FALSE)</f>
        <v xml:space="preserve">Venda de mercadoria adquirida ou recebida de terceiros </v>
      </c>
      <c r="H225" s="88" t="s">
        <v>1671</v>
      </c>
      <c r="I225" s="76">
        <v>46129</v>
      </c>
      <c r="J225" s="68" t="s">
        <v>359</v>
      </c>
      <c r="K225" s="73"/>
      <c r="L225" s="68"/>
      <c r="M225" s="68"/>
    </row>
    <row r="226" spans="1:13" x14ac:dyDescent="0.3">
      <c r="A226" s="229">
        <v>1390</v>
      </c>
      <c r="B226" s="160" t="s">
        <v>467</v>
      </c>
      <c r="C226" s="105">
        <v>3983.75</v>
      </c>
      <c r="D226" s="143">
        <v>5520</v>
      </c>
      <c r="E226" s="72">
        <v>1045</v>
      </c>
      <c r="F226" s="82">
        <v>5102</v>
      </c>
      <c r="G226" s="72" t="str">
        <f>VLOOKUP(F226,CFOP[],2,FALSE)</f>
        <v xml:space="preserve">Venda de mercadoria adquirida ou recebida de terceiros </v>
      </c>
      <c r="H226" s="88" t="s">
        <v>1673</v>
      </c>
      <c r="I226" s="76">
        <v>46129</v>
      </c>
      <c r="J226" s="68" t="s">
        <v>359</v>
      </c>
      <c r="K226" s="73"/>
      <c r="L226" s="68"/>
      <c r="M226" s="68"/>
    </row>
    <row r="227" spans="1:13" x14ac:dyDescent="0.3">
      <c r="A227" s="229">
        <v>1468</v>
      </c>
      <c r="B227" s="160" t="s">
        <v>467</v>
      </c>
      <c r="C227" s="105">
        <v>4417.5</v>
      </c>
      <c r="D227" s="143">
        <v>5521</v>
      </c>
      <c r="E227" s="72">
        <v>2730</v>
      </c>
      <c r="F227" s="82">
        <v>5102</v>
      </c>
      <c r="G227" s="72" t="str">
        <f>VLOOKUP(F227,CFOP[],2,FALSE)</f>
        <v xml:space="preserve">Venda de mercadoria adquirida ou recebida de terceiros </v>
      </c>
      <c r="H227" s="88" t="s">
        <v>1675</v>
      </c>
      <c r="I227" s="76">
        <v>46129</v>
      </c>
      <c r="J227" s="68" t="s">
        <v>359</v>
      </c>
      <c r="K227" s="73"/>
      <c r="L227" s="68"/>
      <c r="M227" s="68"/>
    </row>
    <row r="228" spans="1:13" x14ac:dyDescent="0.3">
      <c r="A228" s="229">
        <v>1470</v>
      </c>
      <c r="B228" s="160" t="s">
        <v>467</v>
      </c>
      <c r="C228" s="105">
        <v>2720</v>
      </c>
      <c r="D228" s="143">
        <v>5522</v>
      </c>
      <c r="E228" s="72">
        <v>1032.5</v>
      </c>
      <c r="F228" s="82">
        <v>5102</v>
      </c>
      <c r="G228" s="72" t="str">
        <f>VLOOKUP(F228,CFOP[],2,FALSE)</f>
        <v xml:space="preserve">Venda de mercadoria adquirida ou recebida de terceiros </v>
      </c>
      <c r="H228" s="88" t="s">
        <v>1678</v>
      </c>
      <c r="I228" s="76">
        <v>46129</v>
      </c>
      <c r="J228" s="68" t="s">
        <v>359</v>
      </c>
      <c r="K228" s="73"/>
      <c r="L228" s="68"/>
      <c r="M228" s="68"/>
    </row>
    <row r="229" spans="1:13" x14ac:dyDescent="0.3">
      <c r="A229" s="229">
        <v>1471</v>
      </c>
      <c r="B229" s="160" t="s">
        <v>467</v>
      </c>
      <c r="C229" s="105">
        <v>14594.5</v>
      </c>
      <c r="D229" s="143">
        <v>5523</v>
      </c>
      <c r="E229" s="72">
        <v>12244.5</v>
      </c>
      <c r="F229" s="82">
        <v>5102</v>
      </c>
      <c r="G229" s="72" t="str">
        <f>VLOOKUP(F229,CFOP[],2,FALSE)</f>
        <v xml:space="preserve">Venda de mercadoria adquirida ou recebida de terceiros </v>
      </c>
      <c r="H229" s="88" t="s">
        <v>1679</v>
      </c>
      <c r="I229" s="76">
        <v>46129</v>
      </c>
      <c r="J229" s="68" t="s">
        <v>359</v>
      </c>
      <c r="K229" s="73"/>
      <c r="L229" s="68"/>
      <c r="M229" s="68"/>
    </row>
    <row r="230" spans="1:13" x14ac:dyDescent="0.3">
      <c r="A230" s="229">
        <v>1472</v>
      </c>
      <c r="B230" s="160" t="s">
        <v>467</v>
      </c>
      <c r="C230" s="105">
        <v>2965</v>
      </c>
      <c r="D230" s="143">
        <v>5524</v>
      </c>
      <c r="E230" s="72">
        <v>1815</v>
      </c>
      <c r="F230" s="82">
        <v>5102</v>
      </c>
      <c r="G230" s="72" t="str">
        <f>VLOOKUP(F230,CFOP[],2,FALSE)</f>
        <v xml:space="preserve">Venda de mercadoria adquirida ou recebida de terceiros </v>
      </c>
      <c r="H230" s="88" t="s">
        <v>1681</v>
      </c>
      <c r="I230" s="76">
        <v>46129</v>
      </c>
      <c r="J230" s="68" t="s">
        <v>359</v>
      </c>
      <c r="K230" s="73"/>
      <c r="L230" s="68"/>
      <c r="M230" s="68"/>
    </row>
    <row r="231" spans="1:13" x14ac:dyDescent="0.3">
      <c r="A231" s="229">
        <v>1473</v>
      </c>
      <c r="B231" s="160" t="s">
        <v>467</v>
      </c>
      <c r="C231" s="105">
        <v>4225.5</v>
      </c>
      <c r="D231" s="143">
        <v>5525</v>
      </c>
      <c r="E231" s="72">
        <v>2538</v>
      </c>
      <c r="F231" s="82">
        <v>5102</v>
      </c>
      <c r="G231" s="72" t="str">
        <f>VLOOKUP(F231,CFOP[],2,FALSE)</f>
        <v xml:space="preserve">Venda de mercadoria adquirida ou recebida de terceiros </v>
      </c>
      <c r="H231" s="88" t="s">
        <v>1684</v>
      </c>
      <c r="I231" s="76">
        <v>46129</v>
      </c>
      <c r="J231" s="68" t="s">
        <v>359</v>
      </c>
      <c r="K231" s="73"/>
      <c r="L231" s="68"/>
      <c r="M231" s="68"/>
    </row>
    <row r="232" spans="1:13" x14ac:dyDescent="0.3">
      <c r="A232" s="229">
        <v>1475</v>
      </c>
      <c r="B232" s="160" t="s">
        <v>467</v>
      </c>
      <c r="C232" s="105">
        <v>4327.9799999999996</v>
      </c>
      <c r="D232" s="143">
        <v>5526</v>
      </c>
      <c r="E232" s="72">
        <v>1997.98</v>
      </c>
      <c r="F232" s="82">
        <v>5102</v>
      </c>
      <c r="G232" s="72" t="str">
        <f>VLOOKUP(F232,CFOP[],2,FALSE)</f>
        <v xml:space="preserve">Venda de mercadoria adquirida ou recebida de terceiros </v>
      </c>
      <c r="H232" s="88" t="s">
        <v>1686</v>
      </c>
      <c r="I232" s="76">
        <v>46129</v>
      </c>
      <c r="J232" s="68" t="s">
        <v>359</v>
      </c>
      <c r="K232" s="73"/>
      <c r="L232" s="68"/>
      <c r="M232" s="68"/>
    </row>
    <row r="233" spans="1:13" x14ac:dyDescent="0.3">
      <c r="A233" s="229">
        <v>1476</v>
      </c>
      <c r="B233" s="160" t="s">
        <v>467</v>
      </c>
      <c r="C233" s="105">
        <v>3215</v>
      </c>
      <c r="D233" s="143">
        <v>5527</v>
      </c>
      <c r="E233" s="72">
        <v>855</v>
      </c>
      <c r="F233" s="82">
        <v>5102</v>
      </c>
      <c r="G233" s="72" t="str">
        <f>VLOOKUP(F233,CFOP[],2,FALSE)</f>
        <v xml:space="preserve">Venda de mercadoria adquirida ou recebida de terceiros </v>
      </c>
      <c r="H233" s="88" t="s">
        <v>1689</v>
      </c>
      <c r="I233" s="76">
        <v>46129</v>
      </c>
      <c r="J233" s="68" t="s">
        <v>359</v>
      </c>
      <c r="K233" s="73"/>
      <c r="L233" s="68"/>
      <c r="M233" s="68"/>
    </row>
    <row r="234" spans="1:13" x14ac:dyDescent="0.3">
      <c r="A234" s="229">
        <v>1775</v>
      </c>
      <c r="B234" s="160" t="s">
        <v>447</v>
      </c>
      <c r="C234" s="105">
        <v>894.9</v>
      </c>
      <c r="D234" s="143">
        <v>5528</v>
      </c>
      <c r="E234" s="72">
        <v>894.9</v>
      </c>
      <c r="F234" s="82">
        <v>5102</v>
      </c>
      <c r="G234" s="72" t="str">
        <f>VLOOKUP(F234,CFOP[],2,FALSE)</f>
        <v xml:space="preserve">Venda de mercadoria adquirida ou recebida de terceiros </v>
      </c>
      <c r="H234" s="88" t="s">
        <v>1693</v>
      </c>
      <c r="I234" s="76">
        <v>46132</v>
      </c>
      <c r="J234" s="68" t="s">
        <v>359</v>
      </c>
      <c r="K234" s="73"/>
      <c r="L234" s="68"/>
      <c r="M234" s="68"/>
    </row>
    <row r="235" spans="1:13" x14ac:dyDescent="0.3">
      <c r="A235" s="229">
        <v>1770</v>
      </c>
      <c r="B235" s="160" t="s">
        <v>1716</v>
      </c>
      <c r="C235" s="105">
        <v>1806</v>
      </c>
      <c r="D235" s="143">
        <v>5529</v>
      </c>
      <c r="E235" s="72">
        <v>1016</v>
      </c>
      <c r="F235" s="82">
        <v>5102</v>
      </c>
      <c r="G235" s="72" t="str">
        <f>VLOOKUP(F235,CFOP[],2,FALSE)</f>
        <v xml:space="preserve">Venda de mercadoria adquirida ou recebida de terceiros </v>
      </c>
      <c r="H235" s="88" t="s">
        <v>1718</v>
      </c>
      <c r="I235" s="76">
        <v>46134</v>
      </c>
      <c r="J235" s="68" t="s">
        <v>359</v>
      </c>
      <c r="K235" s="73"/>
      <c r="L235" s="68"/>
      <c r="M235" s="68"/>
    </row>
    <row r="236" spans="1:13" x14ac:dyDescent="0.3">
      <c r="A236" s="229">
        <v>1440</v>
      </c>
      <c r="B236" s="160" t="s">
        <v>1724</v>
      </c>
      <c r="C236" s="105">
        <v>1664</v>
      </c>
      <c r="D236" s="143">
        <v>5530</v>
      </c>
      <c r="E236" s="72">
        <v>774</v>
      </c>
      <c r="F236" s="82">
        <v>5102</v>
      </c>
      <c r="G236" s="72" t="str">
        <f>VLOOKUP(F236,CFOP[],2,FALSE)</f>
        <v xml:space="preserve">Venda de mercadoria adquirida ou recebida de terceiros </v>
      </c>
      <c r="H236" s="88" t="s">
        <v>1726</v>
      </c>
      <c r="I236" s="76">
        <v>46134</v>
      </c>
      <c r="J236" s="68" t="s">
        <v>359</v>
      </c>
      <c r="K236" s="73"/>
      <c r="L236" s="68"/>
      <c r="M236" s="68"/>
    </row>
    <row r="237" spans="1:13" x14ac:dyDescent="0.3">
      <c r="A237" s="229" t="s">
        <v>15</v>
      </c>
      <c r="B237" s="160" t="s">
        <v>1049</v>
      </c>
      <c r="C237" s="105">
        <v>6433.41</v>
      </c>
      <c r="D237" s="143">
        <v>5531</v>
      </c>
      <c r="E237" s="72">
        <v>6433.41</v>
      </c>
      <c r="F237" s="82">
        <v>5901</v>
      </c>
      <c r="G237" s="72" t="str">
        <f>VLOOKUP(F237,CFOP[],2,FALSE)</f>
        <v xml:space="preserve">Remessa para industrialização por encomenda </v>
      </c>
      <c r="H237" s="88" t="s">
        <v>1727</v>
      </c>
      <c r="I237" s="76">
        <v>46134</v>
      </c>
      <c r="J237" s="68" t="s">
        <v>359</v>
      </c>
      <c r="K237" s="73"/>
      <c r="L237" s="68"/>
      <c r="M237" s="68"/>
    </row>
    <row r="238" spans="1:13" x14ac:dyDescent="0.3">
      <c r="A238" s="229">
        <v>1792</v>
      </c>
      <c r="B238" s="160" t="s">
        <v>718</v>
      </c>
      <c r="C238" s="105">
        <v>1520</v>
      </c>
      <c r="D238" s="143">
        <v>5532</v>
      </c>
      <c r="E238" s="72">
        <v>1520</v>
      </c>
      <c r="F238" s="82">
        <v>5102</v>
      </c>
      <c r="G238" s="342" t="str">
        <f>VLOOKUP(F238,CFOP[],2,FALSE)</f>
        <v xml:space="preserve">Venda de mercadoria adquirida ou recebida de terceiros </v>
      </c>
      <c r="H238" s="88" t="s">
        <v>1737</v>
      </c>
      <c r="I238" s="76">
        <v>46135</v>
      </c>
      <c r="J238" s="68" t="s">
        <v>359</v>
      </c>
      <c r="K238" s="73"/>
      <c r="L238" s="68"/>
      <c r="M238" s="68"/>
    </row>
    <row r="239" spans="1:13" x14ac:dyDescent="0.3">
      <c r="A239" s="229">
        <v>1713</v>
      </c>
      <c r="B239" s="160" t="s">
        <v>1741</v>
      </c>
      <c r="C239" s="105">
        <v>12938</v>
      </c>
      <c r="D239" s="143">
        <v>5533</v>
      </c>
      <c r="E239" s="72">
        <v>4683</v>
      </c>
      <c r="F239" s="82">
        <v>6102</v>
      </c>
      <c r="G239" s="342" t="str">
        <f>VLOOKUP(F239,CFOP[],2,FALSE)</f>
        <v xml:space="preserve">Venda de mercadoria adquirida ou recebida de terceiros </v>
      </c>
      <c r="H239" s="88" t="s">
        <v>1743</v>
      </c>
      <c r="I239" s="76">
        <v>46135</v>
      </c>
      <c r="J239" s="68" t="s">
        <v>359</v>
      </c>
      <c r="K239" s="73"/>
      <c r="L239" s="68"/>
      <c r="M239" s="68"/>
    </row>
    <row r="240" spans="1:13" x14ac:dyDescent="0.3">
      <c r="A240" s="229">
        <v>1799</v>
      </c>
      <c r="B240" s="160" t="s">
        <v>639</v>
      </c>
      <c r="C240" s="105">
        <v>1485.5</v>
      </c>
      <c r="D240" s="143">
        <v>5534</v>
      </c>
      <c r="E240" s="72">
        <v>695.5</v>
      </c>
      <c r="F240" s="82">
        <v>5102</v>
      </c>
      <c r="G240" s="342" t="str">
        <f>VLOOKUP(F240,CFOP[],2,FALSE)</f>
        <v xml:space="preserve">Venda de mercadoria adquirida ou recebida de terceiros </v>
      </c>
      <c r="H240" s="88" t="s">
        <v>1750</v>
      </c>
      <c r="I240" s="76">
        <v>46135</v>
      </c>
      <c r="J240" s="68" t="s">
        <v>359</v>
      </c>
      <c r="K240" s="73"/>
      <c r="L240" s="68"/>
      <c r="M240" s="68"/>
    </row>
  </sheetData>
  <phoneticPr fontId="3" type="noConversion"/>
  <conditionalFormatting sqref="D2:M240">
    <cfRule type="expression" dxfId="24" priority="1">
      <formula>$J2="Aguardando"</formula>
    </cfRule>
    <cfRule type="expression" dxfId="23" priority="23">
      <formula>$J2="Emitida"</formula>
    </cfRule>
    <cfRule type="expression" dxfId="22" priority="24">
      <formula>$J2="Cancelada"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3ADB-D053-4EAC-B31B-F8AEECB11FF6}">
  <sheetPr>
    <tabColor theme="3"/>
  </sheetPr>
  <dimension ref="A1:V206"/>
  <sheetViews>
    <sheetView showGridLines="0" zoomScale="80" zoomScaleNormal="80" workbookViewId="0">
      <pane xSplit="2" ySplit="1" topLeftCell="C170" activePane="bottomRight" state="frozen"/>
      <selection pane="topRight" activeCell="C1" sqref="C1"/>
      <selection pane="bottomLeft" activeCell="A2" sqref="A2"/>
      <selection pane="bottomRight" activeCell="A181" sqref="A181"/>
    </sheetView>
  </sheetViews>
  <sheetFormatPr defaultRowHeight="16.5" x14ac:dyDescent="0.3"/>
  <cols>
    <col min="1" max="1" width="8.375" style="230" bestFit="1" customWidth="1"/>
    <col min="2" max="2" width="37.75" customWidth="1"/>
    <col min="3" max="3" width="18.75" bestFit="1" customWidth="1"/>
    <col min="4" max="4" width="10.625" style="90" customWidth="1"/>
    <col min="5" max="5" width="16.25" style="10" customWidth="1"/>
    <col min="6" max="6" width="8.125" style="1" customWidth="1"/>
    <col min="7" max="7" width="45.75" style="111" customWidth="1"/>
    <col min="8" max="8" width="12.125" style="22" customWidth="1"/>
    <col min="9" max="9" width="14.375" customWidth="1"/>
    <col min="10" max="10" width="24" style="4" customWidth="1"/>
    <col min="11" max="11" width="16.25" bestFit="1" customWidth="1"/>
    <col min="12" max="12" width="13.875" bestFit="1" customWidth="1"/>
    <col min="13" max="13" width="18" bestFit="1" customWidth="1"/>
    <col min="14" max="14" width="13.875" style="95" bestFit="1" customWidth="1"/>
    <col min="15" max="15" width="18.125" style="95" customWidth="1"/>
    <col min="16" max="17" width="10.875" style="95" bestFit="1" customWidth="1"/>
    <col min="18" max="18" width="8.5" customWidth="1"/>
    <col min="19" max="19" width="8" customWidth="1"/>
    <col min="20" max="20" width="11.875" customWidth="1"/>
    <col min="21" max="21" width="8" style="1" bestFit="1" customWidth="1"/>
    <col min="22" max="22" width="7.625" style="1" bestFit="1" customWidth="1"/>
    <col min="23" max="23" width="11.875" customWidth="1"/>
  </cols>
  <sheetData>
    <row r="1" spans="1:22" s="3" customFormat="1" ht="17.25" thickBot="1" x14ac:dyDescent="0.35">
      <c r="A1" s="231" t="s">
        <v>1</v>
      </c>
      <c r="B1" s="116" t="s">
        <v>0</v>
      </c>
      <c r="C1" s="117" t="s">
        <v>364</v>
      </c>
      <c r="D1" s="2" t="s">
        <v>48</v>
      </c>
      <c r="E1" s="118" t="s">
        <v>583</v>
      </c>
      <c r="F1" s="2" t="s">
        <v>17</v>
      </c>
      <c r="G1" s="119" t="s">
        <v>369</v>
      </c>
      <c r="H1" s="120" t="s">
        <v>368</v>
      </c>
      <c r="I1" s="121" t="s">
        <v>77</v>
      </c>
      <c r="J1" s="24" t="s">
        <v>31</v>
      </c>
      <c r="K1" s="210" t="s">
        <v>769</v>
      </c>
      <c r="L1" s="210" t="s">
        <v>594</v>
      </c>
      <c r="M1" s="123" t="s">
        <v>768</v>
      </c>
      <c r="N1" s="123" t="s">
        <v>595</v>
      </c>
      <c r="O1" s="117" t="s">
        <v>596</v>
      </c>
      <c r="P1" s="115" t="s">
        <v>20</v>
      </c>
      <c r="Q1" s="122" t="s">
        <v>6</v>
      </c>
    </row>
    <row r="2" spans="1:22" x14ac:dyDescent="0.3">
      <c r="A2" s="232">
        <v>1218</v>
      </c>
      <c r="B2" s="102" t="s">
        <v>639</v>
      </c>
      <c r="C2" s="147">
        <v>790</v>
      </c>
      <c r="D2" s="142">
        <v>1</v>
      </c>
      <c r="E2" s="104">
        <v>790</v>
      </c>
      <c r="F2" s="70">
        <v>1</v>
      </c>
      <c r="G2" s="84" t="s">
        <v>640</v>
      </c>
      <c r="H2" s="106">
        <v>45967</v>
      </c>
      <c r="I2" s="66" t="s">
        <v>359</v>
      </c>
      <c r="J2" s="93"/>
      <c r="K2" s="174" t="s">
        <v>637</v>
      </c>
      <c r="L2" s="239">
        <f>_xlfn.IFS(NFSe_NC[[#This Row],[RETER ISS]]="NÃO",0,NFSe_NC[[#This Row],[RETER ISS]]="SIM",NFSe_NC[[#This Row],[VALOR NFS-e]]*5%)</f>
        <v>0</v>
      </c>
      <c r="M2" s="219" t="s">
        <v>637</v>
      </c>
      <c r="N2" s="243" cm="1">
        <f t="array" ref="N2">_xlfn.IFS(NFSe_NC[[#This Row],[RETER INSS]]="NÃO",0,NFSe_NC[[#This Row],[RETER INSS]]="SIM",NFSe_NC[[#This Row],[VALOR NFS-e]]*11%)</f>
        <v>0</v>
      </c>
      <c r="O2" s="240">
        <f t="shared" ref="O2:O33" si="0">E2-L2-N2</f>
        <v>790</v>
      </c>
      <c r="P2" s="103" t="s">
        <v>12</v>
      </c>
      <c r="Q2" s="112" t="s">
        <v>12</v>
      </c>
      <c r="U2"/>
      <c r="V2"/>
    </row>
    <row r="3" spans="1:22" x14ac:dyDescent="0.3">
      <c r="A3" s="233">
        <v>1169</v>
      </c>
      <c r="B3" s="96" t="s">
        <v>641</v>
      </c>
      <c r="C3" s="157">
        <v>2560</v>
      </c>
      <c r="D3" s="142">
        <v>2</v>
      </c>
      <c r="E3" s="104">
        <v>2560</v>
      </c>
      <c r="F3" s="70">
        <v>22</v>
      </c>
      <c r="G3" s="84" t="s">
        <v>642</v>
      </c>
      <c r="H3" s="106">
        <v>45967</v>
      </c>
      <c r="I3" s="66" t="s">
        <v>57</v>
      </c>
      <c r="J3" s="93"/>
      <c r="K3" s="158" t="s">
        <v>637</v>
      </c>
      <c r="L3" s="97">
        <f>_xlfn.IFS(NFSe_NC[[#This Row],[RETER ISS]]="NÃO",0,NFSe_NC[[#This Row],[RETER ISS]]="SIM",NFSe_NC[[#This Row],[VALOR NFS-e]]*5%)</f>
        <v>0</v>
      </c>
      <c r="M3" s="67" t="s">
        <v>637</v>
      </c>
      <c r="N3" s="244" cm="1">
        <f t="array" ref="N3">_xlfn.IFS(NFSe_NC[[#This Row],[RETER INSS]]="NÃO",0,NFSe_NC[[#This Row],[RETER INSS]]="SIM",NFSe_NC[[#This Row],[VALOR NFS-e]]*11%)</f>
        <v>0</v>
      </c>
      <c r="O3" s="241">
        <f t="shared" si="0"/>
        <v>2560</v>
      </c>
      <c r="P3" s="103" t="s">
        <v>12</v>
      </c>
      <c r="Q3" s="112" t="s">
        <v>12</v>
      </c>
      <c r="U3"/>
      <c r="V3"/>
    </row>
    <row r="4" spans="1:22" x14ac:dyDescent="0.3">
      <c r="A4" s="233">
        <v>425</v>
      </c>
      <c r="B4" s="96" t="s">
        <v>432</v>
      </c>
      <c r="C4" s="157">
        <v>14975.47</v>
      </c>
      <c r="D4" s="142">
        <v>3</v>
      </c>
      <c r="E4" s="104">
        <v>4375</v>
      </c>
      <c r="F4" s="70">
        <v>4</v>
      </c>
      <c r="G4" s="84" t="s">
        <v>643</v>
      </c>
      <c r="H4" s="106">
        <v>45968</v>
      </c>
      <c r="I4" s="66" t="s">
        <v>359</v>
      </c>
      <c r="J4" s="93"/>
      <c r="K4" s="158" t="s">
        <v>637</v>
      </c>
      <c r="L4" s="97">
        <f>_xlfn.IFS(NFSe_NC[[#This Row],[RETER ISS]]="NÃO",0,NFSe_NC[[#This Row],[RETER ISS]]="SIM",NFSe_NC[[#This Row],[VALOR NFS-e]]*5%)</f>
        <v>0</v>
      </c>
      <c r="M4" s="67" t="s">
        <v>637</v>
      </c>
      <c r="N4" s="244" cm="1">
        <f t="array" ref="N4">_xlfn.IFS(NFSe_NC[[#This Row],[RETER INSS]]="NÃO",0,NFSe_NC[[#This Row],[RETER INSS]]="SIM",NFSe_NC[[#This Row],[VALOR NFS-e]]*11%)</f>
        <v>0</v>
      </c>
      <c r="O4" s="241">
        <f t="shared" si="0"/>
        <v>4375</v>
      </c>
      <c r="P4" s="103" t="s">
        <v>12</v>
      </c>
      <c r="Q4" s="112" t="s">
        <v>12</v>
      </c>
      <c r="U4"/>
      <c r="V4"/>
    </row>
    <row r="5" spans="1:22" x14ac:dyDescent="0.3">
      <c r="A5" s="233">
        <v>1169</v>
      </c>
      <c r="B5" s="96" t="s">
        <v>641</v>
      </c>
      <c r="C5" s="157">
        <v>2560</v>
      </c>
      <c r="D5" s="142">
        <v>4</v>
      </c>
      <c r="E5" s="104">
        <v>2560</v>
      </c>
      <c r="F5" s="70">
        <v>21</v>
      </c>
      <c r="G5" s="84" t="s">
        <v>644</v>
      </c>
      <c r="H5" s="106">
        <v>45968</v>
      </c>
      <c r="I5" s="66" t="s">
        <v>359</v>
      </c>
      <c r="J5" s="93"/>
      <c r="K5" s="158" t="s">
        <v>637</v>
      </c>
      <c r="L5" s="97">
        <f>_xlfn.IFS(NFSe_NC[[#This Row],[RETER ISS]]="NÃO",0,NFSe_NC[[#This Row],[RETER ISS]]="SIM",NFSe_NC[[#This Row],[VALOR NFS-e]]*5%)</f>
        <v>0</v>
      </c>
      <c r="M5" s="67" t="s">
        <v>637</v>
      </c>
      <c r="N5" s="244" cm="1">
        <f t="array" ref="N5">_xlfn.IFS(NFSe_NC[[#This Row],[RETER INSS]]="NÃO",0,NFSe_NC[[#This Row],[RETER INSS]]="SIM",NFSe_NC[[#This Row],[VALOR NFS-e]]*11%)</f>
        <v>0</v>
      </c>
      <c r="O5" s="241">
        <f t="shared" si="0"/>
        <v>2560</v>
      </c>
      <c r="P5" s="103" t="s">
        <v>12</v>
      </c>
      <c r="Q5" s="112" t="s">
        <v>12</v>
      </c>
      <c r="U5"/>
      <c r="V5"/>
    </row>
    <row r="6" spans="1:22" x14ac:dyDescent="0.3">
      <c r="A6" s="233">
        <v>427</v>
      </c>
      <c r="B6" s="96" t="s">
        <v>467</v>
      </c>
      <c r="C6" s="157">
        <v>5629</v>
      </c>
      <c r="D6" s="141">
        <v>5</v>
      </c>
      <c r="E6" s="104">
        <v>2250</v>
      </c>
      <c r="F6" s="70">
        <v>15</v>
      </c>
      <c r="G6" s="84" t="s">
        <v>645</v>
      </c>
      <c r="H6" s="106">
        <v>45968</v>
      </c>
      <c r="I6" s="66" t="s">
        <v>359</v>
      </c>
      <c r="J6" s="93"/>
      <c r="K6" s="158" t="s">
        <v>637</v>
      </c>
      <c r="L6" s="97">
        <f>_xlfn.IFS(NFSe_NC[[#This Row],[RETER ISS]]="NÃO",0,NFSe_NC[[#This Row],[RETER ISS]]="SIM",NFSe_NC[[#This Row],[VALOR NFS-e]]*5%)</f>
        <v>0</v>
      </c>
      <c r="M6" s="67" t="s">
        <v>637</v>
      </c>
      <c r="N6" s="244" cm="1">
        <f t="array" ref="N6">_xlfn.IFS(NFSe_NC[[#This Row],[RETER INSS]]="NÃO",0,NFSe_NC[[#This Row],[RETER INSS]]="SIM",NFSe_NC[[#This Row],[VALOR NFS-e]]*11%)</f>
        <v>0</v>
      </c>
      <c r="O6" s="241">
        <f t="shared" si="0"/>
        <v>2250</v>
      </c>
      <c r="P6" s="103" t="s">
        <v>12</v>
      </c>
      <c r="Q6" s="112" t="s">
        <v>12</v>
      </c>
      <c r="U6"/>
      <c r="V6"/>
    </row>
    <row r="7" spans="1:22" x14ac:dyDescent="0.3">
      <c r="A7" s="233">
        <v>431</v>
      </c>
      <c r="B7" s="96" t="s">
        <v>467</v>
      </c>
      <c r="C7" s="157">
        <v>3842.6</v>
      </c>
      <c r="D7" s="141">
        <v>6</v>
      </c>
      <c r="E7" s="104">
        <v>2120</v>
      </c>
      <c r="F7" s="70">
        <v>18</v>
      </c>
      <c r="G7" s="84" t="s">
        <v>646</v>
      </c>
      <c r="H7" s="106">
        <v>45968</v>
      </c>
      <c r="I7" s="66" t="s">
        <v>359</v>
      </c>
      <c r="J7" s="93"/>
      <c r="K7" s="158" t="s">
        <v>637</v>
      </c>
      <c r="L7" s="97">
        <f>_xlfn.IFS(NFSe_NC[[#This Row],[RETER ISS]]="NÃO",0,NFSe_NC[[#This Row],[RETER ISS]]="SIM",NFSe_NC[[#This Row],[VALOR NFS-e]]*5%)</f>
        <v>0</v>
      </c>
      <c r="M7" s="67" t="s">
        <v>637</v>
      </c>
      <c r="N7" s="244" cm="1">
        <f t="array" ref="N7">_xlfn.IFS(NFSe_NC[[#This Row],[RETER INSS]]="NÃO",0,NFSe_NC[[#This Row],[RETER INSS]]="SIM",NFSe_NC[[#This Row],[VALOR NFS-e]]*11%)</f>
        <v>0</v>
      </c>
      <c r="O7" s="241">
        <f t="shared" si="0"/>
        <v>2120</v>
      </c>
      <c r="P7" s="103" t="s">
        <v>12</v>
      </c>
      <c r="Q7" s="112" t="s">
        <v>12</v>
      </c>
      <c r="U7"/>
      <c r="V7"/>
    </row>
    <row r="8" spans="1:22" x14ac:dyDescent="0.3">
      <c r="A8" s="233">
        <v>450</v>
      </c>
      <c r="B8" s="96" t="s">
        <v>501</v>
      </c>
      <c r="C8" s="157">
        <v>1280</v>
      </c>
      <c r="D8" s="141">
        <v>7</v>
      </c>
      <c r="E8" s="104">
        <v>1280</v>
      </c>
      <c r="F8" s="70">
        <v>13</v>
      </c>
      <c r="G8" s="84" t="s">
        <v>647</v>
      </c>
      <c r="H8" s="106">
        <v>45971</v>
      </c>
      <c r="I8" s="66" t="s">
        <v>359</v>
      </c>
      <c r="J8" s="93"/>
      <c r="K8" s="158" t="s">
        <v>637</v>
      </c>
      <c r="L8" s="97">
        <f>_xlfn.IFS(NFSe_NC[[#This Row],[RETER ISS]]="NÃO",0,NFSe_NC[[#This Row],[RETER ISS]]="SIM",NFSe_NC[[#This Row],[VALOR NFS-e]]*5%)</f>
        <v>0</v>
      </c>
      <c r="M8" s="67" t="s">
        <v>637</v>
      </c>
      <c r="N8" s="244" cm="1">
        <f t="array" ref="N8">_xlfn.IFS(NFSe_NC[[#This Row],[RETER INSS]]="NÃO",0,NFSe_NC[[#This Row],[RETER INSS]]="SIM",NFSe_NC[[#This Row],[VALOR NFS-e]]*11%)</f>
        <v>0</v>
      </c>
      <c r="O8" s="241">
        <f t="shared" si="0"/>
        <v>1280</v>
      </c>
      <c r="P8" s="103" t="s">
        <v>12</v>
      </c>
      <c r="Q8" s="112" t="s">
        <v>12</v>
      </c>
      <c r="U8"/>
      <c r="V8"/>
    </row>
    <row r="9" spans="1:22" x14ac:dyDescent="0.3">
      <c r="A9" s="233">
        <v>1227</v>
      </c>
      <c r="B9" s="96" t="s">
        <v>649</v>
      </c>
      <c r="C9" s="157">
        <v>1613</v>
      </c>
      <c r="D9" s="141">
        <v>8</v>
      </c>
      <c r="E9" s="104">
        <v>890</v>
      </c>
      <c r="F9" s="70">
        <v>24</v>
      </c>
      <c r="G9" s="84" t="s">
        <v>648</v>
      </c>
      <c r="H9" s="106">
        <v>45971</v>
      </c>
      <c r="I9" s="66" t="s">
        <v>359</v>
      </c>
      <c r="J9" s="93"/>
      <c r="K9" s="158" t="s">
        <v>637</v>
      </c>
      <c r="L9" s="97">
        <f>_xlfn.IFS(NFSe_NC[[#This Row],[RETER ISS]]="NÃO",0,NFSe_NC[[#This Row],[RETER ISS]]="SIM",NFSe_NC[[#This Row],[VALOR NFS-e]]*5%)</f>
        <v>0</v>
      </c>
      <c r="M9" s="67" t="s">
        <v>637</v>
      </c>
      <c r="N9" s="244" cm="1">
        <f t="array" ref="N9">_xlfn.IFS(NFSe_NC[[#This Row],[RETER INSS]]="NÃO",0,NFSe_NC[[#This Row],[RETER INSS]]="SIM",NFSe_NC[[#This Row],[VALOR NFS-e]]*11%)</f>
        <v>0</v>
      </c>
      <c r="O9" s="241">
        <f t="shared" si="0"/>
        <v>890</v>
      </c>
      <c r="P9" s="103" t="s">
        <v>12</v>
      </c>
      <c r="Q9" s="112" t="s">
        <v>12</v>
      </c>
      <c r="U9"/>
      <c r="V9"/>
    </row>
    <row r="10" spans="1:22" x14ac:dyDescent="0.3">
      <c r="A10" s="233">
        <v>390</v>
      </c>
      <c r="B10" s="96" t="s">
        <v>467</v>
      </c>
      <c r="C10" s="157">
        <v>3586.3</v>
      </c>
      <c r="D10" s="141">
        <v>9</v>
      </c>
      <c r="E10" s="104">
        <v>1687.5</v>
      </c>
      <c r="F10" s="70">
        <v>19</v>
      </c>
      <c r="G10" s="84" t="s">
        <v>650</v>
      </c>
      <c r="H10" s="106">
        <v>45971</v>
      </c>
      <c r="I10" s="66" t="s">
        <v>359</v>
      </c>
      <c r="J10" s="93"/>
      <c r="K10" s="158" t="s">
        <v>637</v>
      </c>
      <c r="L10" s="97">
        <f>_xlfn.IFS(NFSe_NC[[#This Row],[RETER ISS]]="NÃO",0,NFSe_NC[[#This Row],[RETER ISS]]="SIM",NFSe_NC[[#This Row],[VALOR NFS-e]]*5%)</f>
        <v>0</v>
      </c>
      <c r="M10" s="67" t="s">
        <v>637</v>
      </c>
      <c r="N10" s="244" cm="1">
        <f t="array" ref="N10">_xlfn.IFS(NFSe_NC[[#This Row],[RETER INSS]]="NÃO",0,NFSe_NC[[#This Row],[RETER INSS]]="SIM",NFSe_NC[[#This Row],[VALOR NFS-e]]*11%)</f>
        <v>0</v>
      </c>
      <c r="O10" s="241">
        <f t="shared" si="0"/>
        <v>1687.5</v>
      </c>
      <c r="P10" s="103" t="s">
        <v>12</v>
      </c>
      <c r="Q10" s="112" t="s">
        <v>12</v>
      </c>
      <c r="U10"/>
      <c r="V10"/>
    </row>
    <row r="11" spans="1:22" x14ac:dyDescent="0.3">
      <c r="A11" s="233" t="s">
        <v>15</v>
      </c>
      <c r="B11" s="96" t="s">
        <v>607</v>
      </c>
      <c r="C11" s="157">
        <v>9579.43</v>
      </c>
      <c r="D11" s="142">
        <v>10</v>
      </c>
      <c r="E11" s="104">
        <v>9579.43</v>
      </c>
      <c r="F11" s="70">
        <v>25</v>
      </c>
      <c r="G11" s="84" t="s">
        <v>651</v>
      </c>
      <c r="H11" s="106">
        <v>45972</v>
      </c>
      <c r="I11" s="66" t="s">
        <v>57</v>
      </c>
      <c r="J11" s="93" t="s">
        <v>225</v>
      </c>
      <c r="K11" s="158" t="s">
        <v>637</v>
      </c>
      <c r="L11" s="97">
        <f>_xlfn.IFS(NFSe_NC[[#This Row],[RETER ISS]]="NÃO",0,NFSe_NC[[#This Row],[RETER ISS]]="SIM",NFSe_NC[[#This Row],[VALOR NFS-e]]*5%)</f>
        <v>0</v>
      </c>
      <c r="M11" s="67" t="s">
        <v>637</v>
      </c>
      <c r="N11" s="244" cm="1">
        <f t="array" ref="N11">_xlfn.IFS(NFSe_NC[[#This Row],[RETER INSS]]="NÃO",0,NFSe_NC[[#This Row],[RETER INSS]]="SIM",NFSe_NC[[#This Row],[VALOR NFS-e]]*11%)</f>
        <v>0</v>
      </c>
      <c r="O11" s="241">
        <f t="shared" si="0"/>
        <v>9579.43</v>
      </c>
      <c r="P11" s="103" t="s">
        <v>12</v>
      </c>
      <c r="Q11" s="112" t="s">
        <v>12</v>
      </c>
      <c r="U11"/>
      <c r="V11"/>
    </row>
    <row r="12" spans="1:22" x14ac:dyDescent="0.3">
      <c r="A12" s="233" t="s">
        <v>15</v>
      </c>
      <c r="B12" s="96" t="s">
        <v>607</v>
      </c>
      <c r="C12" s="157">
        <v>9579.43</v>
      </c>
      <c r="D12" s="142">
        <v>11</v>
      </c>
      <c r="E12" s="104">
        <v>9579.43</v>
      </c>
      <c r="F12" s="70">
        <v>26</v>
      </c>
      <c r="G12" s="84" t="s">
        <v>652</v>
      </c>
      <c r="H12" s="106">
        <v>45972</v>
      </c>
      <c r="I12" s="66" t="s">
        <v>359</v>
      </c>
      <c r="J12" s="93" t="s">
        <v>225</v>
      </c>
      <c r="K12" s="158" t="s">
        <v>637</v>
      </c>
      <c r="L12" s="97">
        <f>_xlfn.IFS(NFSe_NC[[#This Row],[RETER ISS]]="NÃO",0,NFSe_NC[[#This Row],[RETER ISS]]="SIM",NFSe_NC[[#This Row],[VALOR NFS-e]]*5%)</f>
        <v>0</v>
      </c>
      <c r="M12" s="67" t="s">
        <v>637</v>
      </c>
      <c r="N12" s="244" cm="1">
        <f t="array" ref="N12">_xlfn.IFS(NFSe_NC[[#This Row],[RETER INSS]]="NÃO",0,NFSe_NC[[#This Row],[RETER INSS]]="SIM",NFSe_NC[[#This Row],[VALOR NFS-e]]*11%)</f>
        <v>0</v>
      </c>
      <c r="O12" s="241">
        <f t="shared" si="0"/>
        <v>9579.43</v>
      </c>
      <c r="P12" s="103" t="s">
        <v>12</v>
      </c>
      <c r="Q12" s="112" t="s">
        <v>12</v>
      </c>
      <c r="U12"/>
      <c r="V12"/>
    </row>
    <row r="13" spans="1:22" x14ac:dyDescent="0.3">
      <c r="A13" s="233">
        <v>1096</v>
      </c>
      <c r="B13" s="96" t="s">
        <v>501</v>
      </c>
      <c r="C13" s="157">
        <v>1588</v>
      </c>
      <c r="D13" s="141">
        <v>12</v>
      </c>
      <c r="E13" s="104">
        <v>890</v>
      </c>
      <c r="F13" s="70">
        <v>27</v>
      </c>
      <c r="G13" s="84" t="s">
        <v>653</v>
      </c>
      <c r="H13" s="106">
        <v>45973</v>
      </c>
      <c r="I13" s="66" t="s">
        <v>359</v>
      </c>
      <c r="J13" s="93"/>
      <c r="K13" s="158" t="s">
        <v>637</v>
      </c>
      <c r="L13" s="97">
        <f>_xlfn.IFS(NFSe_NC[[#This Row],[RETER ISS]]="NÃO",0,NFSe_NC[[#This Row],[RETER ISS]]="SIM",NFSe_NC[[#This Row],[VALOR NFS-e]]*5%)</f>
        <v>0</v>
      </c>
      <c r="M13" s="67" t="s">
        <v>637</v>
      </c>
      <c r="N13" s="244" cm="1">
        <f t="array" ref="N13">_xlfn.IFS(NFSe_NC[[#This Row],[RETER INSS]]="NÃO",0,NFSe_NC[[#This Row],[RETER INSS]]="SIM",NFSe_NC[[#This Row],[VALOR NFS-e]]*11%)</f>
        <v>0</v>
      </c>
      <c r="O13" s="241">
        <f t="shared" si="0"/>
        <v>890</v>
      </c>
      <c r="P13" s="103" t="s">
        <v>12</v>
      </c>
      <c r="Q13" s="112" t="s">
        <v>12</v>
      </c>
      <c r="U13"/>
      <c r="V13"/>
    </row>
    <row r="14" spans="1:22" x14ac:dyDescent="0.3">
      <c r="A14" s="233">
        <v>115</v>
      </c>
      <c r="B14" s="96" t="s">
        <v>432</v>
      </c>
      <c r="C14" s="157">
        <v>5420</v>
      </c>
      <c r="D14" s="141">
        <v>13</v>
      </c>
      <c r="E14" s="104">
        <v>5420</v>
      </c>
      <c r="F14" s="70">
        <v>28</v>
      </c>
      <c r="G14" s="84" t="s">
        <v>654</v>
      </c>
      <c r="H14" s="106">
        <v>45973</v>
      </c>
      <c r="I14" s="66" t="s">
        <v>359</v>
      </c>
      <c r="J14" s="93"/>
      <c r="K14" s="158" t="s">
        <v>637</v>
      </c>
      <c r="L14" s="97">
        <f>_xlfn.IFS(NFSe_NC[[#This Row],[RETER ISS]]="NÃO",0,NFSe_NC[[#This Row],[RETER ISS]]="SIM",NFSe_NC[[#This Row],[VALOR NFS-e]]*5%)</f>
        <v>0</v>
      </c>
      <c r="M14" s="67" t="s">
        <v>637</v>
      </c>
      <c r="N14" s="244" cm="1">
        <f t="array" ref="N14">_xlfn.IFS(NFSe_NC[[#This Row],[RETER INSS]]="NÃO",0,NFSe_NC[[#This Row],[RETER INSS]]="SIM",NFSe_NC[[#This Row],[VALOR NFS-e]]*11%)</f>
        <v>0</v>
      </c>
      <c r="O14" s="241">
        <f t="shared" si="0"/>
        <v>5420</v>
      </c>
      <c r="P14" s="103" t="s">
        <v>12</v>
      </c>
      <c r="Q14" s="112" t="s">
        <v>12</v>
      </c>
      <c r="U14"/>
      <c r="V14"/>
    </row>
    <row r="15" spans="1:22" x14ac:dyDescent="0.3">
      <c r="A15" s="233">
        <v>317</v>
      </c>
      <c r="B15" s="96" t="s">
        <v>432</v>
      </c>
      <c r="C15" s="157">
        <v>1590</v>
      </c>
      <c r="D15" s="141">
        <v>14</v>
      </c>
      <c r="E15" s="104">
        <v>1590</v>
      </c>
      <c r="F15" s="70">
        <v>29</v>
      </c>
      <c r="G15" s="84" t="s">
        <v>655</v>
      </c>
      <c r="H15" s="106">
        <v>45973</v>
      </c>
      <c r="I15" s="66" t="s">
        <v>359</v>
      </c>
      <c r="J15" s="93"/>
      <c r="K15" s="158" t="s">
        <v>637</v>
      </c>
      <c r="L15" s="97">
        <f>_xlfn.IFS(NFSe_NC[[#This Row],[RETER ISS]]="NÃO",0,NFSe_NC[[#This Row],[RETER ISS]]="SIM",NFSe_NC[[#This Row],[VALOR NFS-e]]*5%)</f>
        <v>0</v>
      </c>
      <c r="M15" s="67" t="s">
        <v>637</v>
      </c>
      <c r="N15" s="244" cm="1">
        <f t="array" ref="N15">_xlfn.IFS(NFSe_NC[[#This Row],[RETER INSS]]="NÃO",0,NFSe_NC[[#This Row],[RETER INSS]]="SIM",NFSe_NC[[#This Row],[VALOR NFS-e]]*11%)</f>
        <v>0</v>
      </c>
      <c r="O15" s="241">
        <f t="shared" si="0"/>
        <v>1590</v>
      </c>
      <c r="P15" s="103" t="s">
        <v>12</v>
      </c>
      <c r="Q15" s="112" t="s">
        <v>12</v>
      </c>
      <c r="U15"/>
      <c r="V15"/>
    </row>
    <row r="16" spans="1:22" x14ac:dyDescent="0.3">
      <c r="A16" s="233">
        <v>365</v>
      </c>
      <c r="B16" s="96" t="s">
        <v>465</v>
      </c>
      <c r="C16" s="157">
        <v>32346.3</v>
      </c>
      <c r="D16" s="141">
        <v>15</v>
      </c>
      <c r="E16" s="104">
        <v>4595</v>
      </c>
      <c r="F16" s="70">
        <v>7</v>
      </c>
      <c r="G16" s="84" t="s">
        <v>656</v>
      </c>
      <c r="H16" s="106">
        <v>45973</v>
      </c>
      <c r="I16" s="66" t="s">
        <v>57</v>
      </c>
      <c r="J16" s="93" t="s">
        <v>679</v>
      </c>
      <c r="K16" s="158" t="s">
        <v>638</v>
      </c>
      <c r="L16" s="97">
        <f>_xlfn.IFS(NFSe_NC[[#This Row],[RETER ISS]]="NÃO",0,NFSe_NC[[#This Row],[RETER ISS]]="SIM",NFSe_NC[[#This Row],[VALOR NFS-e]]*5%)</f>
        <v>229.75</v>
      </c>
      <c r="M16" s="67" t="s">
        <v>637</v>
      </c>
      <c r="N16" s="244" cm="1">
        <f t="array" ref="N16">_xlfn.IFS(NFSe_NC[[#This Row],[RETER INSS]]="NÃO",0,NFSe_NC[[#This Row],[RETER INSS]]="SIM",NFSe_NC[[#This Row],[VALOR NFS-e]]*11%)</f>
        <v>0</v>
      </c>
      <c r="O16" s="241">
        <f t="shared" si="0"/>
        <v>4365.25</v>
      </c>
      <c r="P16" s="103" t="s">
        <v>12</v>
      </c>
      <c r="Q16" s="112" t="s">
        <v>12</v>
      </c>
      <c r="U16"/>
      <c r="V16"/>
    </row>
    <row r="17" spans="1:22" x14ac:dyDescent="0.3">
      <c r="A17" s="233">
        <v>1151</v>
      </c>
      <c r="B17" s="96" t="s">
        <v>496</v>
      </c>
      <c r="C17" s="157">
        <v>5053</v>
      </c>
      <c r="D17" s="142">
        <v>16</v>
      </c>
      <c r="E17" s="104">
        <v>4330</v>
      </c>
      <c r="F17" s="70">
        <v>30</v>
      </c>
      <c r="G17" s="84" t="s">
        <v>657</v>
      </c>
      <c r="H17" s="106">
        <v>45974</v>
      </c>
      <c r="I17" s="66" t="s">
        <v>359</v>
      </c>
      <c r="J17" s="93"/>
      <c r="K17" s="158" t="s">
        <v>637</v>
      </c>
      <c r="L17" s="97">
        <f>_xlfn.IFS(NFSe_NC[[#This Row],[RETER ISS]]="NÃO",0,NFSe_NC[[#This Row],[RETER ISS]]="SIM",NFSe_NC[[#This Row],[VALOR NFS-e]]*5%)</f>
        <v>0</v>
      </c>
      <c r="M17" s="67" t="s">
        <v>637</v>
      </c>
      <c r="N17" s="244" cm="1">
        <f t="array" ref="N17">_xlfn.IFS(NFSe_NC[[#This Row],[RETER INSS]]="NÃO",0,NFSe_NC[[#This Row],[RETER INSS]]="SIM",NFSe_NC[[#This Row],[VALOR NFS-e]]*11%)</f>
        <v>0</v>
      </c>
      <c r="O17" s="241">
        <f t="shared" si="0"/>
        <v>4330</v>
      </c>
      <c r="P17" s="103" t="s">
        <v>12</v>
      </c>
      <c r="Q17" s="112" t="s">
        <v>12</v>
      </c>
      <c r="U17"/>
      <c r="V17"/>
    </row>
    <row r="18" spans="1:22" x14ac:dyDescent="0.3">
      <c r="A18" s="233">
        <v>401</v>
      </c>
      <c r="B18" s="96" t="s">
        <v>432</v>
      </c>
      <c r="C18" s="157">
        <v>33341.4</v>
      </c>
      <c r="D18" s="141">
        <v>17</v>
      </c>
      <c r="E18" s="104">
        <v>5660</v>
      </c>
      <c r="F18" s="70">
        <v>31</v>
      </c>
      <c r="G18" s="84" t="s">
        <v>658</v>
      </c>
      <c r="H18" s="106">
        <v>45974</v>
      </c>
      <c r="I18" s="66" t="s">
        <v>359</v>
      </c>
      <c r="J18" s="93"/>
      <c r="K18" s="158" t="s">
        <v>637</v>
      </c>
      <c r="L18" s="97">
        <f>_xlfn.IFS(NFSe_NC[[#This Row],[RETER ISS]]="NÃO",0,NFSe_NC[[#This Row],[RETER ISS]]="SIM",NFSe_NC[[#This Row],[VALOR NFS-e]]*5%)</f>
        <v>0</v>
      </c>
      <c r="M18" s="67" t="s">
        <v>637</v>
      </c>
      <c r="N18" s="244" cm="1">
        <f t="array" ref="N18">_xlfn.IFS(NFSe_NC[[#This Row],[RETER INSS]]="NÃO",0,NFSe_NC[[#This Row],[RETER INSS]]="SIM",NFSe_NC[[#This Row],[VALOR NFS-e]]*11%)</f>
        <v>0</v>
      </c>
      <c r="O18" s="241">
        <f t="shared" si="0"/>
        <v>5660</v>
      </c>
      <c r="P18" s="103" t="s">
        <v>12</v>
      </c>
      <c r="Q18" s="112" t="s">
        <v>12</v>
      </c>
      <c r="U18"/>
      <c r="V18"/>
    </row>
    <row r="19" spans="1:22" x14ac:dyDescent="0.3">
      <c r="A19" s="233">
        <v>1250</v>
      </c>
      <c r="B19" s="96" t="s">
        <v>510</v>
      </c>
      <c r="C19" s="157">
        <v>890</v>
      </c>
      <c r="D19" s="141">
        <v>18</v>
      </c>
      <c r="E19" s="104">
        <v>890</v>
      </c>
      <c r="F19" s="70">
        <v>32</v>
      </c>
      <c r="G19" s="84" t="s">
        <v>659</v>
      </c>
      <c r="H19" s="106">
        <v>45979</v>
      </c>
      <c r="I19" s="66" t="s">
        <v>359</v>
      </c>
      <c r="J19" s="93"/>
      <c r="K19" s="158" t="s">
        <v>637</v>
      </c>
      <c r="L19" s="97">
        <f>_xlfn.IFS(NFSe_NC[[#This Row],[RETER ISS]]="NÃO",0,NFSe_NC[[#This Row],[RETER ISS]]="SIM",NFSe_NC[[#This Row],[VALOR NFS-e]]*5%)</f>
        <v>0</v>
      </c>
      <c r="M19" s="67" t="s">
        <v>637</v>
      </c>
      <c r="N19" s="244" cm="1">
        <f t="array" ref="N19">_xlfn.IFS(NFSe_NC[[#This Row],[RETER INSS]]="NÃO",0,NFSe_NC[[#This Row],[RETER INSS]]="SIM",NFSe_NC[[#This Row],[VALOR NFS-e]]*11%)</f>
        <v>0</v>
      </c>
      <c r="O19" s="241">
        <f t="shared" si="0"/>
        <v>890</v>
      </c>
      <c r="P19" s="103" t="s">
        <v>12</v>
      </c>
      <c r="Q19" s="112" t="s">
        <v>12</v>
      </c>
      <c r="U19"/>
      <c r="V19"/>
    </row>
    <row r="20" spans="1:22" x14ac:dyDescent="0.3">
      <c r="A20" s="233">
        <v>424</v>
      </c>
      <c r="B20" s="96" t="s">
        <v>661</v>
      </c>
      <c r="C20" s="157">
        <v>26180</v>
      </c>
      <c r="D20" s="141">
        <v>19</v>
      </c>
      <c r="E20" s="104">
        <v>15360</v>
      </c>
      <c r="F20" s="70">
        <v>33</v>
      </c>
      <c r="G20" s="84" t="s">
        <v>660</v>
      </c>
      <c r="H20" s="106">
        <v>45979</v>
      </c>
      <c r="I20" s="66" t="s">
        <v>359</v>
      </c>
      <c r="J20" s="93" t="s">
        <v>37</v>
      </c>
      <c r="K20" s="158" t="s">
        <v>637</v>
      </c>
      <c r="L20" s="97">
        <f>_xlfn.IFS(NFSe_NC[[#This Row],[RETER ISS]]="NÃO",0,NFSe_NC[[#This Row],[RETER ISS]]="SIM",NFSe_NC[[#This Row],[VALOR NFS-e]]*5%)</f>
        <v>0</v>
      </c>
      <c r="M20" s="67" t="s">
        <v>637</v>
      </c>
      <c r="N20" s="244" cm="1">
        <f t="array" ref="N20">_xlfn.IFS(NFSe_NC[[#This Row],[RETER INSS]]="NÃO",0,NFSe_NC[[#This Row],[RETER INSS]]="SIM",NFSe_NC[[#This Row],[VALOR NFS-e]]*11%)</f>
        <v>0</v>
      </c>
      <c r="O20" s="241">
        <f t="shared" si="0"/>
        <v>15360</v>
      </c>
      <c r="P20" s="103" t="s">
        <v>12</v>
      </c>
      <c r="Q20" s="112" t="s">
        <v>12</v>
      </c>
      <c r="U20"/>
      <c r="V20"/>
    </row>
    <row r="21" spans="1:22" x14ac:dyDescent="0.3">
      <c r="A21" s="233">
        <v>770</v>
      </c>
      <c r="B21" s="96" t="s">
        <v>505</v>
      </c>
      <c r="C21" s="157">
        <v>10560</v>
      </c>
      <c r="D21" s="142">
        <v>20</v>
      </c>
      <c r="E21" s="104">
        <v>5100</v>
      </c>
      <c r="F21" s="70">
        <v>34</v>
      </c>
      <c r="G21" s="84" t="s">
        <v>662</v>
      </c>
      <c r="H21" s="106">
        <v>45980</v>
      </c>
      <c r="I21" s="66" t="s">
        <v>57</v>
      </c>
      <c r="J21" s="93"/>
      <c r="K21" s="158" t="s">
        <v>637</v>
      </c>
      <c r="L21" s="97">
        <f>_xlfn.IFS(NFSe_NC[[#This Row],[RETER ISS]]="NÃO",0,NFSe_NC[[#This Row],[RETER ISS]]="SIM",NFSe_NC[[#This Row],[VALOR NFS-e]]*5%)</f>
        <v>0</v>
      </c>
      <c r="M21" s="67" t="s">
        <v>637</v>
      </c>
      <c r="N21" s="244" cm="1">
        <f t="array" ref="N21">_xlfn.IFS(NFSe_NC[[#This Row],[RETER INSS]]="NÃO",0,NFSe_NC[[#This Row],[RETER INSS]]="SIM",NFSe_NC[[#This Row],[VALOR NFS-e]]*11%)</f>
        <v>0</v>
      </c>
      <c r="O21" s="241">
        <f t="shared" si="0"/>
        <v>5100</v>
      </c>
      <c r="P21" s="103" t="s">
        <v>12</v>
      </c>
      <c r="Q21" s="112" t="s">
        <v>12</v>
      </c>
      <c r="U21"/>
      <c r="V21"/>
    </row>
    <row r="22" spans="1:22" x14ac:dyDescent="0.3">
      <c r="A22" s="233">
        <v>436</v>
      </c>
      <c r="B22" s="96" t="s">
        <v>438</v>
      </c>
      <c r="C22" s="157">
        <v>5180</v>
      </c>
      <c r="D22" s="141">
        <v>21</v>
      </c>
      <c r="E22" s="104">
        <v>1820</v>
      </c>
      <c r="F22" s="70">
        <v>35</v>
      </c>
      <c r="G22" s="84" t="s">
        <v>663</v>
      </c>
      <c r="H22" s="106">
        <v>45980</v>
      </c>
      <c r="I22" s="66" t="s">
        <v>359</v>
      </c>
      <c r="J22" s="93"/>
      <c r="K22" s="158" t="s">
        <v>637</v>
      </c>
      <c r="L22" s="97">
        <f>_xlfn.IFS(NFSe_NC[[#This Row],[RETER ISS]]="NÃO",0,NFSe_NC[[#This Row],[RETER ISS]]="SIM",NFSe_NC[[#This Row],[VALOR NFS-e]]*5%)</f>
        <v>0</v>
      </c>
      <c r="M22" s="67" t="s">
        <v>637</v>
      </c>
      <c r="N22" s="244" cm="1">
        <f t="array" ref="N22">_xlfn.IFS(NFSe_NC[[#This Row],[RETER INSS]]="NÃO",0,NFSe_NC[[#This Row],[RETER INSS]]="SIM",NFSe_NC[[#This Row],[VALOR NFS-e]]*11%)</f>
        <v>0</v>
      </c>
      <c r="O22" s="241">
        <f t="shared" si="0"/>
        <v>1820</v>
      </c>
      <c r="P22" s="103" t="s">
        <v>12</v>
      </c>
      <c r="Q22" s="112" t="s">
        <v>12</v>
      </c>
      <c r="U22"/>
      <c r="V22"/>
    </row>
    <row r="23" spans="1:22" x14ac:dyDescent="0.3">
      <c r="A23" s="233">
        <v>1044</v>
      </c>
      <c r="B23" s="96" t="s">
        <v>501</v>
      </c>
      <c r="C23" s="157">
        <v>1126.76</v>
      </c>
      <c r="D23" s="141">
        <v>22</v>
      </c>
      <c r="E23" s="104">
        <v>1126.76</v>
      </c>
      <c r="F23" s="70">
        <v>36</v>
      </c>
      <c r="G23" s="84" t="s">
        <v>664</v>
      </c>
      <c r="H23" s="106">
        <v>45980</v>
      </c>
      <c r="I23" s="66" t="s">
        <v>359</v>
      </c>
      <c r="J23" s="93"/>
      <c r="K23" s="158" t="s">
        <v>637</v>
      </c>
      <c r="L23" s="97">
        <f>_xlfn.IFS(NFSe_NC[[#This Row],[RETER ISS]]="NÃO",0,NFSe_NC[[#This Row],[RETER ISS]]="SIM",NFSe_NC[[#This Row],[VALOR NFS-e]]*5%)</f>
        <v>0</v>
      </c>
      <c r="M23" s="67" t="s">
        <v>637</v>
      </c>
      <c r="N23" s="244" cm="1">
        <f t="array" ref="N23">_xlfn.IFS(NFSe_NC[[#This Row],[RETER INSS]]="NÃO",0,NFSe_NC[[#This Row],[RETER INSS]]="SIM",NFSe_NC[[#This Row],[VALOR NFS-e]]*11%)</f>
        <v>0</v>
      </c>
      <c r="O23" s="241">
        <f t="shared" si="0"/>
        <v>1126.76</v>
      </c>
      <c r="P23" s="103" t="s">
        <v>12</v>
      </c>
      <c r="Q23" s="112" t="s">
        <v>12</v>
      </c>
      <c r="U23"/>
      <c r="V23"/>
    </row>
    <row r="24" spans="1:22" x14ac:dyDescent="0.3">
      <c r="A24" s="233">
        <v>1185</v>
      </c>
      <c r="B24" s="96" t="s">
        <v>501</v>
      </c>
      <c r="C24" s="157">
        <v>1790</v>
      </c>
      <c r="D24" s="141">
        <v>23</v>
      </c>
      <c r="E24" s="104">
        <v>1790</v>
      </c>
      <c r="F24" s="70">
        <v>37</v>
      </c>
      <c r="G24" s="84" t="s">
        <v>665</v>
      </c>
      <c r="H24" s="106">
        <v>45980</v>
      </c>
      <c r="I24" s="66" t="s">
        <v>359</v>
      </c>
      <c r="J24" s="93"/>
      <c r="K24" s="158" t="s">
        <v>637</v>
      </c>
      <c r="L24" s="97">
        <f>_xlfn.IFS(NFSe_NC[[#This Row],[RETER ISS]]="NÃO",0,NFSe_NC[[#This Row],[RETER ISS]]="SIM",NFSe_NC[[#This Row],[VALOR NFS-e]]*5%)</f>
        <v>0</v>
      </c>
      <c r="M24" s="67" t="s">
        <v>637</v>
      </c>
      <c r="N24" s="244" cm="1">
        <f t="array" ref="N24">_xlfn.IFS(NFSe_NC[[#This Row],[RETER INSS]]="NÃO",0,NFSe_NC[[#This Row],[RETER INSS]]="SIM",NFSe_NC[[#This Row],[VALOR NFS-e]]*11%)</f>
        <v>0</v>
      </c>
      <c r="O24" s="241">
        <f t="shared" si="0"/>
        <v>1790</v>
      </c>
      <c r="P24" s="103" t="s">
        <v>12</v>
      </c>
      <c r="Q24" s="112" t="s">
        <v>12</v>
      </c>
      <c r="U24"/>
      <c r="V24"/>
    </row>
    <row r="25" spans="1:22" x14ac:dyDescent="0.3">
      <c r="A25" s="233">
        <v>1123</v>
      </c>
      <c r="B25" s="96" t="s">
        <v>432</v>
      </c>
      <c r="C25" s="157">
        <v>29734.3</v>
      </c>
      <c r="D25" s="141">
        <v>24</v>
      </c>
      <c r="E25" s="104">
        <v>6420</v>
      </c>
      <c r="F25" s="70">
        <v>38</v>
      </c>
      <c r="G25" s="84" t="s">
        <v>666</v>
      </c>
      <c r="H25" s="106">
        <v>45980</v>
      </c>
      <c r="I25" s="66" t="s">
        <v>359</v>
      </c>
      <c r="J25" s="93"/>
      <c r="K25" s="158" t="s">
        <v>637</v>
      </c>
      <c r="L25" s="97">
        <f>_xlfn.IFS(NFSe_NC[[#This Row],[RETER ISS]]="NÃO",0,NFSe_NC[[#This Row],[RETER ISS]]="SIM",NFSe_NC[[#This Row],[VALOR NFS-e]]*5%)</f>
        <v>0</v>
      </c>
      <c r="M25" s="67" t="s">
        <v>637</v>
      </c>
      <c r="N25" s="244" cm="1">
        <f t="array" ref="N25">_xlfn.IFS(NFSe_NC[[#This Row],[RETER INSS]]="NÃO",0,NFSe_NC[[#This Row],[RETER INSS]]="SIM",NFSe_NC[[#This Row],[VALOR NFS-e]]*11%)</f>
        <v>0</v>
      </c>
      <c r="O25" s="241">
        <f t="shared" si="0"/>
        <v>6420</v>
      </c>
      <c r="P25" s="103" t="s">
        <v>12</v>
      </c>
      <c r="Q25" s="112" t="s">
        <v>12</v>
      </c>
      <c r="U25"/>
      <c r="V25"/>
    </row>
    <row r="26" spans="1:22" x14ac:dyDescent="0.3">
      <c r="A26" s="233">
        <v>770</v>
      </c>
      <c r="B26" s="96" t="s">
        <v>505</v>
      </c>
      <c r="C26" s="157">
        <v>10560</v>
      </c>
      <c r="D26" s="142">
        <v>25</v>
      </c>
      <c r="E26" s="104">
        <v>5100</v>
      </c>
      <c r="F26" s="70">
        <v>9</v>
      </c>
      <c r="G26" s="84" t="s">
        <v>667</v>
      </c>
      <c r="H26" s="106">
        <v>45982</v>
      </c>
      <c r="I26" s="66" t="s">
        <v>57</v>
      </c>
      <c r="J26" s="93"/>
      <c r="K26" s="158" t="s">
        <v>637</v>
      </c>
      <c r="L26" s="97">
        <f>_xlfn.IFS(NFSe_NC[[#This Row],[RETER ISS]]="NÃO",0,NFSe_NC[[#This Row],[RETER ISS]]="SIM",NFSe_NC[[#This Row],[VALOR NFS-e]]*5%)</f>
        <v>0</v>
      </c>
      <c r="M26" s="67" t="s">
        <v>637</v>
      </c>
      <c r="N26" s="244" cm="1">
        <f t="array" ref="N26">_xlfn.IFS(NFSe_NC[[#This Row],[RETER INSS]]="NÃO",0,NFSe_NC[[#This Row],[RETER INSS]]="SIM",NFSe_NC[[#This Row],[VALOR NFS-e]]*11%)</f>
        <v>0</v>
      </c>
      <c r="O26" s="241">
        <f t="shared" si="0"/>
        <v>5100</v>
      </c>
      <c r="P26" s="103" t="s">
        <v>12</v>
      </c>
      <c r="Q26" s="112" t="s">
        <v>12</v>
      </c>
      <c r="U26"/>
      <c r="V26"/>
    </row>
    <row r="27" spans="1:22" x14ac:dyDescent="0.3">
      <c r="A27" s="233">
        <v>770</v>
      </c>
      <c r="B27" s="96" t="s">
        <v>505</v>
      </c>
      <c r="C27" s="157">
        <v>10560</v>
      </c>
      <c r="D27" s="141">
        <v>26</v>
      </c>
      <c r="E27" s="104">
        <v>5100</v>
      </c>
      <c r="F27" s="70">
        <v>11</v>
      </c>
      <c r="G27" s="84" t="s">
        <v>668</v>
      </c>
      <c r="H27" s="106">
        <v>45982</v>
      </c>
      <c r="I27" s="66" t="s">
        <v>359</v>
      </c>
      <c r="J27" s="93" t="s">
        <v>279</v>
      </c>
      <c r="K27" s="158" t="s">
        <v>638</v>
      </c>
      <c r="L27" s="97">
        <f>_xlfn.IFS(NFSe_NC[[#This Row],[RETER ISS]]="NÃO",0,NFSe_NC[[#This Row],[RETER ISS]]="SIM",NFSe_NC[[#This Row],[VALOR NFS-e]]*5%)</f>
        <v>255</v>
      </c>
      <c r="M27" s="67" t="s">
        <v>638</v>
      </c>
      <c r="N27" s="244" cm="1">
        <f t="array" ref="N27">_xlfn.IFS(NFSe_NC[[#This Row],[RETER INSS]]="NÃO",0,NFSe_NC[[#This Row],[RETER INSS]]="SIM",NFSe_NC[[#This Row],[VALOR NFS-e]]*11%)</f>
        <v>561</v>
      </c>
      <c r="O27" s="241">
        <f t="shared" si="0"/>
        <v>4284</v>
      </c>
      <c r="P27" s="103" t="s">
        <v>12</v>
      </c>
      <c r="Q27" s="112" t="s">
        <v>12</v>
      </c>
      <c r="U27"/>
      <c r="V27"/>
    </row>
    <row r="28" spans="1:22" x14ac:dyDescent="0.3">
      <c r="A28" s="233">
        <v>1259</v>
      </c>
      <c r="B28" s="96" t="s">
        <v>669</v>
      </c>
      <c r="C28" s="157">
        <v>890</v>
      </c>
      <c r="D28" s="142">
        <v>27</v>
      </c>
      <c r="E28" s="104">
        <v>890</v>
      </c>
      <c r="F28" s="70">
        <v>39</v>
      </c>
      <c r="G28" s="84" t="s">
        <v>670</v>
      </c>
      <c r="H28" s="106">
        <v>45982</v>
      </c>
      <c r="I28" s="66" t="s">
        <v>57</v>
      </c>
      <c r="J28" s="93"/>
      <c r="K28" s="158" t="s">
        <v>637</v>
      </c>
      <c r="L28" s="97">
        <f>_xlfn.IFS(NFSe_NC[[#This Row],[RETER ISS]]="NÃO",0,NFSe_NC[[#This Row],[RETER ISS]]="SIM",NFSe_NC[[#This Row],[VALOR NFS-e]]*5%)</f>
        <v>0</v>
      </c>
      <c r="M28" s="67" t="s">
        <v>637</v>
      </c>
      <c r="N28" s="244" cm="1">
        <f t="array" ref="N28">_xlfn.IFS(NFSe_NC[[#This Row],[RETER INSS]]="NÃO",0,NFSe_NC[[#This Row],[RETER INSS]]="SIM",NFSe_NC[[#This Row],[VALOR NFS-e]]*11%)</f>
        <v>0</v>
      </c>
      <c r="O28" s="241">
        <f t="shared" si="0"/>
        <v>890</v>
      </c>
      <c r="P28" s="103" t="s">
        <v>12</v>
      </c>
      <c r="Q28" s="112" t="s">
        <v>12</v>
      </c>
      <c r="U28"/>
      <c r="V28"/>
    </row>
    <row r="29" spans="1:22" x14ac:dyDescent="0.3">
      <c r="A29" s="233">
        <v>1263</v>
      </c>
      <c r="B29" s="96" t="s">
        <v>43</v>
      </c>
      <c r="C29" s="157">
        <v>890</v>
      </c>
      <c r="D29" s="141">
        <v>28</v>
      </c>
      <c r="E29" s="104">
        <v>890</v>
      </c>
      <c r="F29" s="70">
        <v>41</v>
      </c>
      <c r="G29" s="84" t="s">
        <v>671</v>
      </c>
      <c r="H29" s="106">
        <v>45985</v>
      </c>
      <c r="I29" s="66" t="s">
        <v>359</v>
      </c>
      <c r="J29" s="93"/>
      <c r="K29" s="158" t="s">
        <v>637</v>
      </c>
      <c r="L29" s="97">
        <f>_xlfn.IFS(NFSe_NC[[#This Row],[RETER ISS]]="NÃO",0,NFSe_NC[[#This Row],[RETER ISS]]="SIM",NFSe_NC[[#This Row],[VALOR NFS-e]]*5%)</f>
        <v>0</v>
      </c>
      <c r="M29" s="67" t="s">
        <v>637</v>
      </c>
      <c r="N29" s="244" cm="1">
        <f t="array" ref="N29">_xlfn.IFS(NFSe_NC[[#This Row],[RETER INSS]]="NÃO",0,NFSe_NC[[#This Row],[RETER INSS]]="SIM",NFSe_NC[[#This Row],[VALOR NFS-e]]*11%)</f>
        <v>0</v>
      </c>
      <c r="O29" s="241">
        <f t="shared" si="0"/>
        <v>890</v>
      </c>
      <c r="P29" s="103" t="s">
        <v>12</v>
      </c>
      <c r="Q29" s="112" t="s">
        <v>12</v>
      </c>
      <c r="U29"/>
      <c r="V29"/>
    </row>
    <row r="30" spans="1:22" x14ac:dyDescent="0.3">
      <c r="A30" s="233">
        <v>1145</v>
      </c>
      <c r="B30" s="96" t="s">
        <v>512</v>
      </c>
      <c r="C30" s="157">
        <v>16247.15</v>
      </c>
      <c r="D30" s="141">
        <v>29</v>
      </c>
      <c r="E30" s="104">
        <v>9800</v>
      </c>
      <c r="F30" s="70">
        <v>42</v>
      </c>
      <c r="G30" s="84" t="s">
        <v>672</v>
      </c>
      <c r="H30" s="106">
        <v>45985</v>
      </c>
      <c r="I30" s="66" t="s">
        <v>359</v>
      </c>
      <c r="J30" s="93"/>
      <c r="K30" s="158" t="s">
        <v>637</v>
      </c>
      <c r="L30" s="97">
        <f>_xlfn.IFS(NFSe_NC[[#This Row],[RETER ISS]]="NÃO",0,NFSe_NC[[#This Row],[RETER ISS]]="SIM",NFSe_NC[[#This Row],[VALOR NFS-e]]*5%)</f>
        <v>0</v>
      </c>
      <c r="M30" s="67" t="s">
        <v>637</v>
      </c>
      <c r="N30" s="244" cm="1">
        <f t="array" ref="N30">_xlfn.IFS(NFSe_NC[[#This Row],[RETER INSS]]="NÃO",0,NFSe_NC[[#This Row],[RETER INSS]]="SIM",NFSe_NC[[#This Row],[VALOR NFS-e]]*11%)</f>
        <v>0</v>
      </c>
      <c r="O30" s="241">
        <f t="shared" si="0"/>
        <v>9800</v>
      </c>
      <c r="P30" s="103" t="s">
        <v>12</v>
      </c>
      <c r="Q30" s="112" t="s">
        <v>12</v>
      </c>
      <c r="U30"/>
      <c r="V30"/>
    </row>
    <row r="31" spans="1:22" x14ac:dyDescent="0.3">
      <c r="A31" s="233">
        <v>1251</v>
      </c>
      <c r="B31" s="96" t="s">
        <v>514</v>
      </c>
      <c r="C31" s="157">
        <v>1720</v>
      </c>
      <c r="D31" s="141">
        <v>30</v>
      </c>
      <c r="E31" s="104">
        <v>890</v>
      </c>
      <c r="F31" s="70">
        <v>43</v>
      </c>
      <c r="G31" s="84" t="s">
        <v>673</v>
      </c>
      <c r="H31" s="106">
        <v>45985</v>
      </c>
      <c r="I31" s="66" t="s">
        <v>359</v>
      </c>
      <c r="J31" s="93"/>
      <c r="K31" s="158" t="s">
        <v>637</v>
      </c>
      <c r="L31" s="97">
        <f>_xlfn.IFS(NFSe_NC[[#This Row],[RETER ISS]]="NÃO",0,NFSe_NC[[#This Row],[RETER ISS]]="SIM",NFSe_NC[[#This Row],[VALOR NFS-e]]*5%)</f>
        <v>0</v>
      </c>
      <c r="M31" s="67" t="s">
        <v>637</v>
      </c>
      <c r="N31" s="244" cm="1">
        <f t="array" ref="N31">_xlfn.IFS(NFSe_NC[[#This Row],[RETER INSS]]="NÃO",0,NFSe_NC[[#This Row],[RETER INSS]]="SIM",NFSe_NC[[#This Row],[VALOR NFS-e]]*11%)</f>
        <v>0</v>
      </c>
      <c r="O31" s="241">
        <f t="shared" si="0"/>
        <v>890</v>
      </c>
      <c r="P31" s="103" t="s">
        <v>12</v>
      </c>
      <c r="Q31" s="112" t="s">
        <v>12</v>
      </c>
      <c r="U31"/>
      <c r="V31"/>
    </row>
    <row r="32" spans="1:22" x14ac:dyDescent="0.3">
      <c r="A32" s="233">
        <v>1248</v>
      </c>
      <c r="B32" s="96" t="s">
        <v>675</v>
      </c>
      <c r="C32" s="157">
        <v>980</v>
      </c>
      <c r="D32" s="141">
        <v>31</v>
      </c>
      <c r="E32" s="104">
        <v>980</v>
      </c>
      <c r="F32" s="70">
        <v>44</v>
      </c>
      <c r="G32" s="84" t="s">
        <v>674</v>
      </c>
      <c r="H32" s="106">
        <v>45985</v>
      </c>
      <c r="I32" s="66" t="s">
        <v>359</v>
      </c>
      <c r="J32" s="93"/>
      <c r="K32" s="158" t="s">
        <v>637</v>
      </c>
      <c r="L32" s="97">
        <f>_xlfn.IFS(NFSe_NC[[#This Row],[RETER ISS]]="NÃO",0,NFSe_NC[[#This Row],[RETER ISS]]="SIM",NFSe_NC[[#This Row],[VALOR NFS-e]]*5%)</f>
        <v>0</v>
      </c>
      <c r="M32" s="67" t="s">
        <v>637</v>
      </c>
      <c r="N32" s="244" cm="1">
        <f t="array" ref="N32">_xlfn.IFS(NFSe_NC[[#This Row],[RETER INSS]]="NÃO",0,NFSe_NC[[#This Row],[RETER INSS]]="SIM",NFSe_NC[[#This Row],[VALOR NFS-e]]*11%)</f>
        <v>0</v>
      </c>
      <c r="O32" s="241">
        <f t="shared" si="0"/>
        <v>980</v>
      </c>
      <c r="P32" s="103" t="s">
        <v>12</v>
      </c>
      <c r="Q32" s="112" t="s">
        <v>12</v>
      </c>
      <c r="U32"/>
      <c r="V32"/>
    </row>
    <row r="33" spans="1:22" x14ac:dyDescent="0.3">
      <c r="A33" s="233">
        <v>280</v>
      </c>
      <c r="B33" s="96" t="s">
        <v>28</v>
      </c>
      <c r="C33" s="157">
        <v>32138.53</v>
      </c>
      <c r="D33" s="141">
        <v>32</v>
      </c>
      <c r="E33" s="104">
        <v>3000</v>
      </c>
      <c r="F33" s="70">
        <v>46</v>
      </c>
      <c r="G33" s="84" t="s">
        <v>676</v>
      </c>
      <c r="H33" s="106">
        <v>45987</v>
      </c>
      <c r="I33" s="66" t="s">
        <v>359</v>
      </c>
      <c r="J33" s="93"/>
      <c r="K33" s="158" t="s">
        <v>637</v>
      </c>
      <c r="L33" s="97">
        <f>_xlfn.IFS(NFSe_NC[[#This Row],[RETER ISS]]="NÃO",0,NFSe_NC[[#This Row],[RETER ISS]]="SIM",NFSe_NC[[#This Row],[VALOR NFS-e]]*5%)</f>
        <v>0</v>
      </c>
      <c r="M33" s="67" t="s">
        <v>637</v>
      </c>
      <c r="N33" s="244" cm="1">
        <f t="array" ref="N33">_xlfn.IFS(NFSe_NC[[#This Row],[RETER INSS]]="NÃO",0,NFSe_NC[[#This Row],[RETER INSS]]="SIM",NFSe_NC[[#This Row],[VALOR NFS-e]]*11%)</f>
        <v>0</v>
      </c>
      <c r="O33" s="241">
        <f t="shared" si="0"/>
        <v>3000</v>
      </c>
      <c r="P33" s="103" t="s">
        <v>12</v>
      </c>
      <c r="Q33" s="112" t="s">
        <v>12</v>
      </c>
      <c r="U33"/>
      <c r="V33"/>
    </row>
    <row r="34" spans="1:22" x14ac:dyDescent="0.3">
      <c r="A34" s="233">
        <v>1276</v>
      </c>
      <c r="B34" s="96" t="s">
        <v>465</v>
      </c>
      <c r="C34" s="157">
        <v>32346.3</v>
      </c>
      <c r="D34" s="141">
        <v>33</v>
      </c>
      <c r="E34" s="104">
        <v>32346.3</v>
      </c>
      <c r="F34" s="70">
        <v>13</v>
      </c>
      <c r="G34" s="84" t="s">
        <v>677</v>
      </c>
      <c r="H34" s="106">
        <v>45987</v>
      </c>
      <c r="I34" s="66" t="s">
        <v>359</v>
      </c>
      <c r="J34" s="93" t="s">
        <v>280</v>
      </c>
      <c r="K34" s="158" t="s">
        <v>638</v>
      </c>
      <c r="L34" s="97">
        <f>_xlfn.IFS(NFSe_NC[[#This Row],[RETER ISS]]="NÃO",0,NFSe_NC[[#This Row],[RETER ISS]]="SIM",NFSe_NC[[#This Row],[VALOR NFS-e]]*5%)</f>
        <v>1617.3150000000001</v>
      </c>
      <c r="M34" s="67" t="s">
        <v>637</v>
      </c>
      <c r="N34" s="244" cm="1">
        <f t="array" ref="N34">_xlfn.IFS(NFSe_NC[[#This Row],[RETER INSS]]="NÃO",0,NFSe_NC[[#This Row],[RETER INSS]]="SIM",NFSe_NC[[#This Row],[VALOR NFS-e]]*11%)</f>
        <v>0</v>
      </c>
      <c r="O34" s="241">
        <f t="shared" ref="O34:O65" si="1">E34-L34-N34</f>
        <v>30728.985000000001</v>
      </c>
      <c r="P34" s="103" t="s">
        <v>12</v>
      </c>
      <c r="Q34" s="112" t="s">
        <v>12</v>
      </c>
      <c r="U34"/>
      <c r="V34"/>
    </row>
    <row r="35" spans="1:22" x14ac:dyDescent="0.3">
      <c r="A35" s="233" t="s">
        <v>15</v>
      </c>
      <c r="B35" s="96" t="s">
        <v>607</v>
      </c>
      <c r="C35" s="157">
        <v>9579.43</v>
      </c>
      <c r="D35" s="142">
        <v>34</v>
      </c>
      <c r="E35" s="104">
        <v>9579.43</v>
      </c>
      <c r="F35" s="70">
        <v>48</v>
      </c>
      <c r="G35" s="84" t="s">
        <v>678</v>
      </c>
      <c r="H35" s="106">
        <v>45988</v>
      </c>
      <c r="I35" s="66" t="s">
        <v>57</v>
      </c>
      <c r="J35" s="93" t="s">
        <v>225</v>
      </c>
      <c r="K35" s="158" t="s">
        <v>637</v>
      </c>
      <c r="L35" s="97">
        <f>_xlfn.IFS(NFSe_NC[[#This Row],[RETER ISS]]="NÃO",0,NFSe_NC[[#This Row],[RETER ISS]]="SIM",NFSe_NC[[#This Row],[VALOR NFS-e]]*5%)</f>
        <v>0</v>
      </c>
      <c r="M35" s="67" t="s">
        <v>637</v>
      </c>
      <c r="N35" s="244" cm="1">
        <f t="array" ref="N35">_xlfn.IFS(NFSe_NC[[#This Row],[RETER INSS]]="NÃO",0,NFSe_NC[[#This Row],[RETER INSS]]="SIM",NFSe_NC[[#This Row],[VALOR NFS-e]]*11%)</f>
        <v>0</v>
      </c>
      <c r="O35" s="241">
        <f t="shared" si="1"/>
        <v>9579.43</v>
      </c>
      <c r="P35" s="103" t="s">
        <v>12</v>
      </c>
      <c r="Q35" s="112" t="s">
        <v>12</v>
      </c>
      <c r="U35"/>
      <c r="V35"/>
    </row>
    <row r="36" spans="1:22" x14ac:dyDescent="0.3">
      <c r="A36" s="233" t="s">
        <v>15</v>
      </c>
      <c r="B36" s="96" t="s">
        <v>607</v>
      </c>
      <c r="C36" s="157">
        <v>20800.990000000002</v>
      </c>
      <c r="D36" s="142">
        <v>35</v>
      </c>
      <c r="E36" s="104">
        <v>20800.990000000002</v>
      </c>
      <c r="F36" s="70">
        <v>49</v>
      </c>
      <c r="G36" s="84" t="s">
        <v>680</v>
      </c>
      <c r="H36" s="106">
        <v>45988</v>
      </c>
      <c r="I36" s="66" t="s">
        <v>359</v>
      </c>
      <c r="J36" s="93" t="s">
        <v>225</v>
      </c>
      <c r="K36" s="158" t="s">
        <v>637</v>
      </c>
      <c r="L36" s="97">
        <f>_xlfn.IFS(NFSe_NC[[#This Row],[RETER ISS]]="NÃO",0,NFSe_NC[[#This Row],[RETER ISS]]="SIM",NFSe_NC[[#This Row],[VALOR NFS-e]]*5%)</f>
        <v>0</v>
      </c>
      <c r="M36" s="67" t="s">
        <v>637</v>
      </c>
      <c r="N36" s="244" cm="1">
        <f t="array" ref="N36">_xlfn.IFS(NFSe_NC[[#This Row],[RETER INSS]]="NÃO",0,NFSe_NC[[#This Row],[RETER INSS]]="SIM",NFSe_NC[[#This Row],[VALOR NFS-e]]*11%)</f>
        <v>0</v>
      </c>
      <c r="O36" s="241">
        <f t="shared" si="1"/>
        <v>20800.990000000002</v>
      </c>
      <c r="P36" s="103" t="s">
        <v>12</v>
      </c>
      <c r="Q36" s="112" t="s">
        <v>12</v>
      </c>
      <c r="U36"/>
      <c r="V36"/>
    </row>
    <row r="37" spans="1:22" x14ac:dyDescent="0.3">
      <c r="A37" s="233">
        <v>1283</v>
      </c>
      <c r="B37" s="96" t="s">
        <v>533</v>
      </c>
      <c r="C37" s="157">
        <v>920</v>
      </c>
      <c r="D37" s="141">
        <v>36</v>
      </c>
      <c r="E37" s="104">
        <v>920</v>
      </c>
      <c r="F37" s="70">
        <v>51</v>
      </c>
      <c r="G37" s="84" t="s">
        <v>681</v>
      </c>
      <c r="H37" s="106">
        <v>45992</v>
      </c>
      <c r="I37" s="66" t="s">
        <v>359</v>
      </c>
      <c r="J37" s="93"/>
      <c r="K37" s="158" t="s">
        <v>637</v>
      </c>
      <c r="L37" s="97">
        <f>_xlfn.IFS(NFSe_NC[[#This Row],[RETER ISS]]="NÃO",0,NFSe_NC[[#This Row],[RETER ISS]]="SIM",NFSe_NC[[#This Row],[VALOR NFS-e]]*5%)</f>
        <v>0</v>
      </c>
      <c r="M37" s="67" t="s">
        <v>637</v>
      </c>
      <c r="N37" s="244" cm="1">
        <f t="array" ref="N37">_xlfn.IFS(NFSe_NC[[#This Row],[RETER INSS]]="NÃO",0,NFSe_NC[[#This Row],[RETER INSS]]="SIM",NFSe_NC[[#This Row],[VALOR NFS-e]]*11%)</f>
        <v>0</v>
      </c>
      <c r="O37" s="241">
        <f t="shared" si="1"/>
        <v>920</v>
      </c>
      <c r="P37" s="103" t="s">
        <v>12</v>
      </c>
      <c r="Q37" s="112" t="s">
        <v>12</v>
      </c>
      <c r="U37"/>
      <c r="V37"/>
    </row>
    <row r="38" spans="1:22" x14ac:dyDescent="0.3">
      <c r="A38" s="233">
        <v>1284</v>
      </c>
      <c r="B38" s="96" t="s">
        <v>535</v>
      </c>
      <c r="C38" s="157">
        <v>1315.7</v>
      </c>
      <c r="D38" s="141">
        <v>37</v>
      </c>
      <c r="E38" s="104">
        <v>650</v>
      </c>
      <c r="F38" s="70">
        <v>52</v>
      </c>
      <c r="G38" s="84" t="s">
        <v>682</v>
      </c>
      <c r="H38" s="106">
        <v>45992</v>
      </c>
      <c r="I38" s="66" t="s">
        <v>359</v>
      </c>
      <c r="J38" s="93"/>
      <c r="K38" s="158" t="s">
        <v>637</v>
      </c>
      <c r="L38" s="97">
        <f>_xlfn.IFS(NFSe_NC[[#This Row],[RETER ISS]]="NÃO",0,NFSe_NC[[#This Row],[RETER ISS]]="SIM",NFSe_NC[[#This Row],[VALOR NFS-e]]*5%)</f>
        <v>0</v>
      </c>
      <c r="M38" s="67" t="s">
        <v>637</v>
      </c>
      <c r="N38" s="244" cm="1">
        <f t="array" ref="N38">_xlfn.IFS(NFSe_NC[[#This Row],[RETER INSS]]="NÃO",0,NFSe_NC[[#This Row],[RETER INSS]]="SIM",NFSe_NC[[#This Row],[VALOR NFS-e]]*11%)</f>
        <v>0</v>
      </c>
      <c r="O38" s="241">
        <f t="shared" si="1"/>
        <v>650</v>
      </c>
      <c r="P38" s="103" t="s">
        <v>12</v>
      </c>
      <c r="Q38" s="112" t="s">
        <v>12</v>
      </c>
      <c r="U38"/>
      <c r="V38"/>
    </row>
    <row r="39" spans="1:22" x14ac:dyDescent="0.3">
      <c r="A39" s="233">
        <v>327</v>
      </c>
      <c r="B39" s="96" t="s">
        <v>438</v>
      </c>
      <c r="C39" s="157">
        <v>6468.4</v>
      </c>
      <c r="D39" s="141">
        <v>38</v>
      </c>
      <c r="E39" s="104">
        <v>3550</v>
      </c>
      <c r="F39" s="70">
        <v>15</v>
      </c>
      <c r="G39" s="84" t="s">
        <v>683</v>
      </c>
      <c r="H39" s="106">
        <v>45992</v>
      </c>
      <c r="I39" s="66" t="s">
        <v>359</v>
      </c>
      <c r="J39" s="93" t="s">
        <v>280</v>
      </c>
      <c r="K39" s="158" t="s">
        <v>638</v>
      </c>
      <c r="L39" s="97">
        <f>_xlfn.IFS(NFSe_NC[[#This Row],[RETER ISS]]="NÃO",0,NFSe_NC[[#This Row],[RETER ISS]]="SIM",NFSe_NC[[#This Row],[VALOR NFS-e]]*5%)</f>
        <v>177.5</v>
      </c>
      <c r="M39" s="67" t="s">
        <v>637</v>
      </c>
      <c r="N39" s="244" cm="1">
        <f t="array" ref="N39">_xlfn.IFS(NFSe_NC[[#This Row],[RETER INSS]]="NÃO",0,NFSe_NC[[#This Row],[RETER INSS]]="SIM",NFSe_NC[[#This Row],[VALOR NFS-e]]*11%)</f>
        <v>0</v>
      </c>
      <c r="O39" s="241">
        <f t="shared" si="1"/>
        <v>3372.5</v>
      </c>
      <c r="P39" s="103" t="s">
        <v>12</v>
      </c>
      <c r="Q39" s="112" t="s">
        <v>12</v>
      </c>
      <c r="U39"/>
      <c r="V39"/>
    </row>
    <row r="40" spans="1:22" x14ac:dyDescent="0.3">
      <c r="A40" s="233">
        <v>976</v>
      </c>
      <c r="B40" s="96" t="s">
        <v>467</v>
      </c>
      <c r="C40" s="157">
        <v>1442.5</v>
      </c>
      <c r="D40" s="141">
        <v>39</v>
      </c>
      <c r="E40" s="104">
        <v>1442.5</v>
      </c>
      <c r="F40" s="70">
        <v>17</v>
      </c>
      <c r="G40" s="84" t="s">
        <v>684</v>
      </c>
      <c r="H40" s="106">
        <v>45992</v>
      </c>
      <c r="I40" s="66" t="s">
        <v>359</v>
      </c>
      <c r="J40" s="93" t="s">
        <v>280</v>
      </c>
      <c r="K40" s="158" t="s">
        <v>638</v>
      </c>
      <c r="L40" s="97">
        <f>_xlfn.IFS(NFSe_NC[[#This Row],[RETER ISS]]="NÃO",0,NFSe_NC[[#This Row],[RETER ISS]]="SIM",NFSe_NC[[#This Row],[VALOR NFS-e]]*5%)</f>
        <v>72.125</v>
      </c>
      <c r="M40" s="67" t="s">
        <v>637</v>
      </c>
      <c r="N40" s="244" cm="1">
        <f t="array" ref="N40">_xlfn.IFS(NFSe_NC[[#This Row],[RETER INSS]]="NÃO",0,NFSe_NC[[#This Row],[RETER INSS]]="SIM",NFSe_NC[[#This Row],[VALOR NFS-e]]*11%)</f>
        <v>0</v>
      </c>
      <c r="O40" s="241">
        <f t="shared" si="1"/>
        <v>1370.375</v>
      </c>
      <c r="P40" s="103" t="s">
        <v>12</v>
      </c>
      <c r="Q40" s="112" t="s">
        <v>12</v>
      </c>
      <c r="U40"/>
      <c r="V40"/>
    </row>
    <row r="41" spans="1:22" x14ac:dyDescent="0.3">
      <c r="A41" s="233">
        <v>399</v>
      </c>
      <c r="B41" s="96" t="s">
        <v>438</v>
      </c>
      <c r="C41" s="157">
        <v>7644.5</v>
      </c>
      <c r="D41" s="141">
        <v>40</v>
      </c>
      <c r="E41" s="104">
        <v>6311.3</v>
      </c>
      <c r="F41" s="70">
        <v>19</v>
      </c>
      <c r="G41" s="84" t="s">
        <v>685</v>
      </c>
      <c r="H41" s="106">
        <v>45992</v>
      </c>
      <c r="I41" s="66" t="s">
        <v>359</v>
      </c>
      <c r="J41" s="93" t="s">
        <v>280</v>
      </c>
      <c r="K41" s="158" t="s">
        <v>638</v>
      </c>
      <c r="L41" s="97">
        <f>_xlfn.IFS(NFSe_NC[[#This Row],[RETER ISS]]="NÃO",0,NFSe_NC[[#This Row],[RETER ISS]]="SIM",NFSe_NC[[#This Row],[VALOR NFS-e]]*5%)</f>
        <v>315.56500000000005</v>
      </c>
      <c r="M41" s="67" t="s">
        <v>637</v>
      </c>
      <c r="N41" s="244" cm="1">
        <f t="array" ref="N41">_xlfn.IFS(NFSe_NC[[#This Row],[RETER INSS]]="NÃO",0,NFSe_NC[[#This Row],[RETER INSS]]="SIM",NFSe_NC[[#This Row],[VALOR NFS-e]]*11%)</f>
        <v>0</v>
      </c>
      <c r="O41" s="241">
        <f t="shared" si="1"/>
        <v>5995.7350000000006</v>
      </c>
      <c r="P41" s="103" t="s">
        <v>12</v>
      </c>
      <c r="Q41" s="112" t="s">
        <v>12</v>
      </c>
      <c r="U41"/>
      <c r="V41"/>
    </row>
    <row r="42" spans="1:22" x14ac:dyDescent="0.3">
      <c r="A42" s="233">
        <v>1259</v>
      </c>
      <c r="B42" s="96" t="s">
        <v>669</v>
      </c>
      <c r="C42" s="157">
        <v>890</v>
      </c>
      <c r="D42" s="141">
        <v>41</v>
      </c>
      <c r="E42" s="104">
        <v>890</v>
      </c>
      <c r="F42" s="70">
        <v>53</v>
      </c>
      <c r="G42" s="84" t="s">
        <v>686</v>
      </c>
      <c r="H42" s="106">
        <v>45993</v>
      </c>
      <c r="I42" s="66" t="s">
        <v>359</v>
      </c>
      <c r="J42" s="93"/>
      <c r="K42" s="158" t="s">
        <v>637</v>
      </c>
      <c r="L42" s="97">
        <f>_xlfn.IFS(NFSe_NC[[#This Row],[RETER ISS]]="NÃO",0,NFSe_NC[[#This Row],[RETER ISS]]="SIM",NFSe_NC[[#This Row],[VALOR NFS-e]]*5%)</f>
        <v>0</v>
      </c>
      <c r="M42" s="67" t="s">
        <v>637</v>
      </c>
      <c r="N42" s="244" cm="1">
        <f t="array" ref="N42">_xlfn.IFS(NFSe_NC[[#This Row],[RETER INSS]]="NÃO",0,NFSe_NC[[#This Row],[RETER INSS]]="SIM",NFSe_NC[[#This Row],[VALOR NFS-e]]*11%)</f>
        <v>0</v>
      </c>
      <c r="O42" s="241">
        <f t="shared" si="1"/>
        <v>890</v>
      </c>
      <c r="P42" s="103" t="s">
        <v>12</v>
      </c>
      <c r="Q42" s="112" t="s">
        <v>12</v>
      </c>
      <c r="U42"/>
      <c r="V42"/>
    </row>
    <row r="43" spans="1:22" x14ac:dyDescent="0.3">
      <c r="A43" s="233">
        <v>1287</v>
      </c>
      <c r="B43" s="96" t="s">
        <v>611</v>
      </c>
      <c r="C43" s="157">
        <v>890</v>
      </c>
      <c r="D43" s="141">
        <v>42</v>
      </c>
      <c r="E43" s="104">
        <v>890</v>
      </c>
      <c r="F43" s="70">
        <v>54</v>
      </c>
      <c r="G43" s="84" t="s">
        <v>687</v>
      </c>
      <c r="H43" s="106">
        <v>45994</v>
      </c>
      <c r="I43" s="66" t="s">
        <v>359</v>
      </c>
      <c r="J43" s="93"/>
      <c r="K43" s="158" t="s">
        <v>637</v>
      </c>
      <c r="L43" s="97">
        <f>_xlfn.IFS(NFSe_NC[[#This Row],[RETER ISS]]="NÃO",0,NFSe_NC[[#This Row],[RETER ISS]]="SIM",NFSe_NC[[#This Row],[VALOR NFS-e]]*5%)</f>
        <v>0</v>
      </c>
      <c r="M43" s="67" t="s">
        <v>637</v>
      </c>
      <c r="N43" s="244" cm="1">
        <f t="array" ref="N43">_xlfn.IFS(NFSe_NC[[#This Row],[RETER INSS]]="NÃO",0,NFSe_NC[[#This Row],[RETER INSS]]="SIM",NFSe_NC[[#This Row],[VALOR NFS-e]]*11%)</f>
        <v>0</v>
      </c>
      <c r="O43" s="241">
        <f t="shared" si="1"/>
        <v>890</v>
      </c>
      <c r="P43" s="103" t="s">
        <v>12</v>
      </c>
      <c r="Q43" s="112" t="s">
        <v>12</v>
      </c>
      <c r="U43"/>
      <c r="V43"/>
    </row>
    <row r="44" spans="1:22" x14ac:dyDescent="0.3">
      <c r="A44" s="233">
        <v>1272</v>
      </c>
      <c r="B44" s="96" t="s">
        <v>538</v>
      </c>
      <c r="C44" s="157">
        <v>6160</v>
      </c>
      <c r="D44" s="141">
        <v>43</v>
      </c>
      <c r="E44" s="104">
        <v>4920</v>
      </c>
      <c r="F44" s="70">
        <v>55</v>
      </c>
      <c r="G44" s="84" t="s">
        <v>688</v>
      </c>
      <c r="H44" s="106">
        <v>45994</v>
      </c>
      <c r="I44" s="66" t="s">
        <v>57</v>
      </c>
      <c r="J44" s="93"/>
      <c r="K44" s="158" t="s">
        <v>637</v>
      </c>
      <c r="L44" s="97">
        <f>_xlfn.IFS(NFSe_NC[[#This Row],[RETER ISS]]="NÃO",0,NFSe_NC[[#This Row],[RETER ISS]]="SIM",NFSe_NC[[#This Row],[VALOR NFS-e]]*5%)</f>
        <v>0</v>
      </c>
      <c r="M44" s="67" t="s">
        <v>637</v>
      </c>
      <c r="N44" s="244" cm="1">
        <f t="array" ref="N44">_xlfn.IFS(NFSe_NC[[#This Row],[RETER INSS]]="NÃO",0,NFSe_NC[[#This Row],[RETER INSS]]="SIM",NFSe_NC[[#This Row],[VALOR NFS-e]]*11%)</f>
        <v>0</v>
      </c>
      <c r="O44" s="241">
        <f t="shared" si="1"/>
        <v>4920</v>
      </c>
      <c r="P44" s="103" t="s">
        <v>12</v>
      </c>
      <c r="Q44" s="112" t="s">
        <v>12</v>
      </c>
      <c r="U44"/>
      <c r="V44"/>
    </row>
    <row r="45" spans="1:22" x14ac:dyDescent="0.3">
      <c r="A45" s="233">
        <v>418</v>
      </c>
      <c r="B45" s="96" t="s">
        <v>538</v>
      </c>
      <c r="C45" s="157">
        <v>7445</v>
      </c>
      <c r="D45" s="141">
        <v>44</v>
      </c>
      <c r="E45" s="104">
        <v>6265</v>
      </c>
      <c r="F45" s="70">
        <v>56</v>
      </c>
      <c r="G45" s="84" t="s">
        <v>689</v>
      </c>
      <c r="H45" s="106">
        <v>45994</v>
      </c>
      <c r="I45" s="66" t="s">
        <v>57</v>
      </c>
      <c r="J45" s="93"/>
      <c r="K45" s="158" t="s">
        <v>637</v>
      </c>
      <c r="L45" s="97">
        <f>_xlfn.IFS(NFSe_NC[[#This Row],[RETER ISS]]="NÃO",0,NFSe_NC[[#This Row],[RETER ISS]]="SIM",NFSe_NC[[#This Row],[VALOR NFS-e]]*5%)</f>
        <v>0</v>
      </c>
      <c r="M45" s="67" t="s">
        <v>637</v>
      </c>
      <c r="N45" s="244" cm="1">
        <f t="array" ref="N45">_xlfn.IFS(NFSe_NC[[#This Row],[RETER INSS]]="NÃO",0,NFSe_NC[[#This Row],[RETER INSS]]="SIM",NFSe_NC[[#This Row],[VALOR NFS-e]]*11%)</f>
        <v>0</v>
      </c>
      <c r="O45" s="241">
        <f t="shared" si="1"/>
        <v>6265</v>
      </c>
      <c r="P45" s="103" t="s">
        <v>12</v>
      </c>
      <c r="Q45" s="112" t="s">
        <v>12</v>
      </c>
      <c r="U45"/>
      <c r="V45"/>
    </row>
    <row r="46" spans="1:22" x14ac:dyDescent="0.3">
      <c r="A46" s="233">
        <v>1272</v>
      </c>
      <c r="B46" s="96" t="s">
        <v>538</v>
      </c>
      <c r="C46" s="157">
        <v>6160</v>
      </c>
      <c r="D46" s="141">
        <v>45</v>
      </c>
      <c r="E46" s="104">
        <v>4920</v>
      </c>
      <c r="F46" s="70">
        <v>21</v>
      </c>
      <c r="G46" s="84" t="s">
        <v>690</v>
      </c>
      <c r="H46" s="106">
        <v>45995</v>
      </c>
      <c r="I46" s="66" t="s">
        <v>57</v>
      </c>
      <c r="J46" s="93" t="s">
        <v>280</v>
      </c>
      <c r="K46" s="158" t="s">
        <v>638</v>
      </c>
      <c r="L46" s="97">
        <f>_xlfn.IFS(NFSe_NC[[#This Row],[RETER ISS]]="NÃO",0,NFSe_NC[[#This Row],[RETER ISS]]="SIM",NFSe_NC[[#This Row],[VALOR NFS-e]]*5%)</f>
        <v>246</v>
      </c>
      <c r="M46" s="67" t="s">
        <v>637</v>
      </c>
      <c r="N46" s="244" cm="1">
        <f t="array" ref="N46">_xlfn.IFS(NFSe_NC[[#This Row],[RETER INSS]]="NÃO",0,NFSe_NC[[#This Row],[RETER INSS]]="SIM",NFSe_NC[[#This Row],[VALOR NFS-e]]*11%)</f>
        <v>0</v>
      </c>
      <c r="O46" s="241">
        <f t="shared" si="1"/>
        <v>4674</v>
      </c>
      <c r="P46" s="103" t="s">
        <v>12</v>
      </c>
      <c r="Q46" s="112" t="s">
        <v>12</v>
      </c>
      <c r="U46"/>
      <c r="V46"/>
    </row>
    <row r="47" spans="1:22" x14ac:dyDescent="0.3">
      <c r="A47" s="233">
        <v>418</v>
      </c>
      <c r="B47" s="96" t="s">
        <v>538</v>
      </c>
      <c r="C47" s="157">
        <v>7445</v>
      </c>
      <c r="D47" s="141">
        <v>46</v>
      </c>
      <c r="E47" s="104">
        <v>6265</v>
      </c>
      <c r="F47" s="70">
        <v>23</v>
      </c>
      <c r="G47" s="84" t="s">
        <v>691</v>
      </c>
      <c r="H47" s="106">
        <v>45995</v>
      </c>
      <c r="I47" s="66" t="s">
        <v>57</v>
      </c>
      <c r="J47" s="93" t="s">
        <v>280</v>
      </c>
      <c r="K47" s="158" t="s">
        <v>638</v>
      </c>
      <c r="L47" s="97">
        <f>_xlfn.IFS(NFSe_NC[[#This Row],[RETER ISS]]="NÃO",0,NFSe_NC[[#This Row],[RETER ISS]]="SIM",NFSe_NC[[#This Row],[VALOR NFS-e]]*5%)</f>
        <v>313.25</v>
      </c>
      <c r="M47" s="67" t="s">
        <v>637</v>
      </c>
      <c r="N47" s="244" cm="1">
        <f t="array" ref="N47">_xlfn.IFS(NFSe_NC[[#This Row],[RETER INSS]]="NÃO",0,NFSe_NC[[#This Row],[RETER INSS]]="SIM",NFSe_NC[[#This Row],[VALOR NFS-e]]*11%)</f>
        <v>0</v>
      </c>
      <c r="O47" s="241">
        <f t="shared" si="1"/>
        <v>5951.75</v>
      </c>
      <c r="P47" s="103" t="s">
        <v>12</v>
      </c>
      <c r="Q47" s="112" t="s">
        <v>12</v>
      </c>
      <c r="U47"/>
      <c r="V47"/>
    </row>
    <row r="48" spans="1:22" x14ac:dyDescent="0.3">
      <c r="A48" s="233">
        <v>1269</v>
      </c>
      <c r="B48" s="96" t="s">
        <v>528</v>
      </c>
      <c r="C48" s="157">
        <v>890</v>
      </c>
      <c r="D48" s="141">
        <v>47</v>
      </c>
      <c r="E48" s="104">
        <v>890</v>
      </c>
      <c r="F48" s="70">
        <v>57</v>
      </c>
      <c r="G48" s="84" t="s">
        <v>692</v>
      </c>
      <c r="H48" s="106">
        <v>45995</v>
      </c>
      <c r="I48" s="66" t="s">
        <v>359</v>
      </c>
      <c r="J48" s="93"/>
      <c r="K48" s="158" t="s">
        <v>637</v>
      </c>
      <c r="L48" s="97">
        <f>_xlfn.IFS(NFSe_NC[[#This Row],[RETER ISS]]="NÃO",0,NFSe_NC[[#This Row],[RETER ISS]]="SIM",NFSe_NC[[#This Row],[VALOR NFS-e]]*5%)</f>
        <v>0</v>
      </c>
      <c r="M48" s="67" t="s">
        <v>637</v>
      </c>
      <c r="N48" s="244" cm="1">
        <f t="array" ref="N48">_xlfn.IFS(NFSe_NC[[#This Row],[RETER INSS]]="NÃO",0,NFSe_NC[[#This Row],[RETER INSS]]="SIM",NFSe_NC[[#This Row],[VALOR NFS-e]]*11%)</f>
        <v>0</v>
      </c>
      <c r="O48" s="241">
        <f t="shared" si="1"/>
        <v>890</v>
      </c>
      <c r="P48" s="103" t="s">
        <v>12</v>
      </c>
      <c r="Q48" s="112" t="s">
        <v>12</v>
      </c>
      <c r="U48"/>
      <c r="V48"/>
    </row>
    <row r="49" spans="1:22" x14ac:dyDescent="0.3">
      <c r="A49" s="233">
        <v>332</v>
      </c>
      <c r="B49" s="96" t="s">
        <v>528</v>
      </c>
      <c r="C49" s="157">
        <v>33874.910000000003</v>
      </c>
      <c r="D49" s="142">
        <v>48</v>
      </c>
      <c r="E49" s="104">
        <v>5405.5</v>
      </c>
      <c r="F49" s="70">
        <v>50</v>
      </c>
      <c r="G49" s="84" t="s">
        <v>693</v>
      </c>
      <c r="H49" s="106">
        <v>45999</v>
      </c>
      <c r="I49" s="66" t="s">
        <v>57</v>
      </c>
      <c r="J49" s="93"/>
      <c r="K49" s="158" t="s">
        <v>637</v>
      </c>
      <c r="L49" s="97">
        <f>_xlfn.IFS(NFSe_NC[[#This Row],[RETER ISS]]="NÃO",0,NFSe_NC[[#This Row],[RETER ISS]]="SIM",NFSe_NC[[#This Row],[VALOR NFS-e]]*5%)</f>
        <v>0</v>
      </c>
      <c r="M49" s="67" t="s">
        <v>637</v>
      </c>
      <c r="N49" s="244" cm="1">
        <f t="array" ref="N49">_xlfn.IFS(NFSe_NC[[#This Row],[RETER INSS]]="NÃO",0,NFSe_NC[[#This Row],[RETER INSS]]="SIM",NFSe_NC[[#This Row],[VALOR NFS-e]]*11%)</f>
        <v>0</v>
      </c>
      <c r="O49" s="241">
        <f t="shared" si="1"/>
        <v>5405.5</v>
      </c>
      <c r="P49" s="103" t="s">
        <v>12</v>
      </c>
      <c r="Q49" s="112" t="s">
        <v>12</v>
      </c>
      <c r="U49"/>
      <c r="V49"/>
    </row>
    <row r="50" spans="1:22" x14ac:dyDescent="0.3">
      <c r="A50" s="233">
        <v>332</v>
      </c>
      <c r="B50" s="96" t="s">
        <v>528</v>
      </c>
      <c r="C50" s="157">
        <v>33874.910000000003</v>
      </c>
      <c r="D50" s="141">
        <v>49</v>
      </c>
      <c r="E50" s="104">
        <v>5405.5</v>
      </c>
      <c r="F50" s="70">
        <v>58</v>
      </c>
      <c r="G50" s="84" t="s">
        <v>694</v>
      </c>
      <c r="H50" s="106">
        <v>45999</v>
      </c>
      <c r="I50" s="66" t="s">
        <v>359</v>
      </c>
      <c r="J50" s="93"/>
      <c r="K50" s="158" t="s">
        <v>637</v>
      </c>
      <c r="L50" s="97">
        <f>_xlfn.IFS(NFSe_NC[[#This Row],[RETER ISS]]="NÃO",0,NFSe_NC[[#This Row],[RETER ISS]]="SIM",NFSe_NC[[#This Row],[VALOR NFS-e]]*5%)</f>
        <v>0</v>
      </c>
      <c r="M50" s="67" t="s">
        <v>637</v>
      </c>
      <c r="N50" s="244" cm="1">
        <f t="array" ref="N50">_xlfn.IFS(NFSe_NC[[#This Row],[RETER INSS]]="NÃO",0,NFSe_NC[[#This Row],[RETER INSS]]="SIM",NFSe_NC[[#This Row],[VALOR NFS-e]]*11%)</f>
        <v>0</v>
      </c>
      <c r="O50" s="241">
        <f t="shared" si="1"/>
        <v>5405.5</v>
      </c>
      <c r="P50" s="103" t="s">
        <v>12</v>
      </c>
      <c r="Q50" s="112" t="s">
        <v>12</v>
      </c>
      <c r="U50"/>
      <c r="V50"/>
    </row>
    <row r="51" spans="1:22" x14ac:dyDescent="0.3">
      <c r="A51" s="233">
        <v>1118</v>
      </c>
      <c r="B51" s="96" t="s">
        <v>528</v>
      </c>
      <c r="C51" s="157">
        <v>17644.3</v>
      </c>
      <c r="D51" s="141">
        <v>50</v>
      </c>
      <c r="E51" s="104">
        <v>4743.3</v>
      </c>
      <c r="F51" s="70">
        <v>59</v>
      </c>
      <c r="G51" s="84" t="s">
        <v>695</v>
      </c>
      <c r="H51" s="106">
        <v>45999</v>
      </c>
      <c r="I51" s="66" t="s">
        <v>359</v>
      </c>
      <c r="J51" s="93"/>
      <c r="K51" s="158" t="s">
        <v>637</v>
      </c>
      <c r="L51" s="97">
        <f>_xlfn.IFS(NFSe_NC[[#This Row],[RETER ISS]]="NÃO",0,NFSe_NC[[#This Row],[RETER ISS]]="SIM",NFSe_NC[[#This Row],[VALOR NFS-e]]*5%)</f>
        <v>0</v>
      </c>
      <c r="M51" s="67" t="s">
        <v>637</v>
      </c>
      <c r="N51" s="244" cm="1">
        <f t="array" ref="N51">_xlfn.IFS(NFSe_NC[[#This Row],[RETER INSS]]="NÃO",0,NFSe_NC[[#This Row],[RETER INSS]]="SIM",NFSe_NC[[#This Row],[VALOR NFS-e]]*11%)</f>
        <v>0</v>
      </c>
      <c r="O51" s="241">
        <f t="shared" si="1"/>
        <v>4743.3</v>
      </c>
      <c r="P51" s="103" t="s">
        <v>12</v>
      </c>
      <c r="Q51" s="112" t="s">
        <v>12</v>
      </c>
      <c r="U51"/>
      <c r="V51"/>
    </row>
    <row r="52" spans="1:22" x14ac:dyDescent="0.3">
      <c r="A52" s="233">
        <v>1272</v>
      </c>
      <c r="B52" s="96" t="s">
        <v>538</v>
      </c>
      <c r="C52" s="157">
        <v>6160</v>
      </c>
      <c r="D52" s="141">
        <v>51</v>
      </c>
      <c r="E52" s="104">
        <v>4920</v>
      </c>
      <c r="F52" s="70">
        <v>25</v>
      </c>
      <c r="G52" s="84" t="s">
        <v>696</v>
      </c>
      <c r="H52" s="106">
        <v>45999</v>
      </c>
      <c r="I52" s="66" t="s">
        <v>359</v>
      </c>
      <c r="J52" s="93" t="s">
        <v>279</v>
      </c>
      <c r="K52" s="158" t="s">
        <v>638</v>
      </c>
      <c r="L52" s="97">
        <f>_xlfn.IFS(NFSe_NC[[#This Row],[RETER ISS]]="NÃO",0,NFSe_NC[[#This Row],[RETER ISS]]="SIM",NFSe_NC[[#This Row],[VALOR NFS-e]]*5%)</f>
        <v>246</v>
      </c>
      <c r="M52" s="67" t="s">
        <v>638</v>
      </c>
      <c r="N52" s="244" cm="1">
        <f t="array" ref="N52">_xlfn.IFS(NFSe_NC[[#This Row],[RETER INSS]]="NÃO",0,NFSe_NC[[#This Row],[RETER INSS]]="SIM",NFSe_NC[[#This Row],[VALOR NFS-e]]*11%)</f>
        <v>541.20000000000005</v>
      </c>
      <c r="O52" s="241">
        <f t="shared" si="1"/>
        <v>4132.8</v>
      </c>
      <c r="P52" s="103" t="s">
        <v>12</v>
      </c>
      <c r="Q52" s="112" t="s">
        <v>12</v>
      </c>
      <c r="U52"/>
      <c r="V52"/>
    </row>
    <row r="53" spans="1:22" x14ac:dyDescent="0.3">
      <c r="A53" s="233">
        <v>418</v>
      </c>
      <c r="B53" s="96" t="s">
        <v>538</v>
      </c>
      <c r="C53" s="157">
        <v>7445</v>
      </c>
      <c r="D53" s="141">
        <v>52</v>
      </c>
      <c r="E53" s="104">
        <v>6265</v>
      </c>
      <c r="F53" s="70">
        <v>27</v>
      </c>
      <c r="G53" s="84" t="s">
        <v>697</v>
      </c>
      <c r="H53" s="106">
        <v>45999</v>
      </c>
      <c r="I53" s="66" t="s">
        <v>359</v>
      </c>
      <c r="J53" s="93" t="s">
        <v>279</v>
      </c>
      <c r="K53" s="158" t="s">
        <v>638</v>
      </c>
      <c r="L53" s="97">
        <f>_xlfn.IFS(NFSe_NC[[#This Row],[RETER ISS]]="NÃO",0,NFSe_NC[[#This Row],[RETER ISS]]="SIM",NFSe_NC[[#This Row],[VALOR NFS-e]]*5%)</f>
        <v>313.25</v>
      </c>
      <c r="M53" s="67" t="s">
        <v>638</v>
      </c>
      <c r="N53" s="244" cm="1">
        <f t="array" ref="N53">_xlfn.IFS(NFSe_NC[[#This Row],[RETER INSS]]="NÃO",0,NFSe_NC[[#This Row],[RETER INSS]]="SIM",NFSe_NC[[#This Row],[VALOR NFS-e]]*11%)</f>
        <v>689.15</v>
      </c>
      <c r="O53" s="241">
        <f t="shared" si="1"/>
        <v>5262.6</v>
      </c>
      <c r="P53" s="103" t="s">
        <v>12</v>
      </c>
      <c r="Q53" s="112" t="s">
        <v>12</v>
      </c>
      <c r="U53"/>
      <c r="V53"/>
    </row>
    <row r="54" spans="1:22" x14ac:dyDescent="0.3">
      <c r="A54" s="233">
        <v>636</v>
      </c>
      <c r="B54" s="96" t="s">
        <v>549</v>
      </c>
      <c r="C54" s="157">
        <v>12523</v>
      </c>
      <c r="D54" s="141">
        <v>53</v>
      </c>
      <c r="E54" s="104">
        <v>5080</v>
      </c>
      <c r="F54" s="70">
        <v>60</v>
      </c>
      <c r="G54" s="84" t="s">
        <v>698</v>
      </c>
      <c r="H54" s="106">
        <v>46001</v>
      </c>
      <c r="I54" s="66" t="s">
        <v>359</v>
      </c>
      <c r="J54" s="93"/>
      <c r="K54" s="158" t="s">
        <v>637</v>
      </c>
      <c r="L54" s="97">
        <f>_xlfn.IFS(NFSe_NC[[#This Row],[RETER ISS]]="NÃO",0,NFSe_NC[[#This Row],[RETER ISS]]="SIM",NFSe_NC[[#This Row],[VALOR NFS-e]]*5%)</f>
        <v>0</v>
      </c>
      <c r="M54" s="67" t="s">
        <v>637</v>
      </c>
      <c r="N54" s="244" cm="1">
        <f t="array" ref="N54">_xlfn.IFS(NFSe_NC[[#This Row],[RETER INSS]]="NÃO",0,NFSe_NC[[#This Row],[RETER INSS]]="SIM",NFSe_NC[[#This Row],[VALOR NFS-e]]*11%)</f>
        <v>0</v>
      </c>
      <c r="O54" s="241">
        <f t="shared" si="1"/>
        <v>5080</v>
      </c>
      <c r="P54" s="103" t="s">
        <v>12</v>
      </c>
      <c r="Q54" s="112" t="s">
        <v>12</v>
      </c>
      <c r="U54"/>
      <c r="V54"/>
    </row>
    <row r="55" spans="1:22" x14ac:dyDescent="0.3">
      <c r="A55" s="233">
        <v>1291</v>
      </c>
      <c r="B55" s="96" t="s">
        <v>669</v>
      </c>
      <c r="C55" s="157">
        <v>890</v>
      </c>
      <c r="D55" s="141">
        <v>54</v>
      </c>
      <c r="E55" s="104">
        <v>890</v>
      </c>
      <c r="F55" s="70">
        <v>61</v>
      </c>
      <c r="G55" s="84" t="s">
        <v>699</v>
      </c>
      <c r="H55" s="106">
        <v>46001</v>
      </c>
      <c r="I55" s="66" t="s">
        <v>359</v>
      </c>
      <c r="J55" s="93"/>
      <c r="K55" s="158" t="s">
        <v>637</v>
      </c>
      <c r="L55" s="97">
        <f>_xlfn.IFS(NFSe_NC[[#This Row],[RETER ISS]]="NÃO",0,NFSe_NC[[#This Row],[RETER ISS]]="SIM",NFSe_NC[[#This Row],[VALOR NFS-e]]*5%)</f>
        <v>0</v>
      </c>
      <c r="M55" s="67" t="s">
        <v>637</v>
      </c>
      <c r="N55" s="244" cm="1">
        <f t="array" ref="N55">_xlfn.IFS(NFSe_NC[[#This Row],[RETER INSS]]="NÃO",0,NFSe_NC[[#This Row],[RETER INSS]]="SIM",NFSe_NC[[#This Row],[VALOR NFS-e]]*11%)</f>
        <v>0</v>
      </c>
      <c r="O55" s="241">
        <f t="shared" si="1"/>
        <v>890</v>
      </c>
      <c r="P55" s="103" t="s">
        <v>12</v>
      </c>
      <c r="Q55" s="112" t="s">
        <v>12</v>
      </c>
      <c r="U55"/>
      <c r="V55"/>
    </row>
    <row r="56" spans="1:22" x14ac:dyDescent="0.3">
      <c r="A56" s="233">
        <v>1225</v>
      </c>
      <c r="B56" s="96" t="s">
        <v>700</v>
      </c>
      <c r="C56" s="157">
        <v>5710.8</v>
      </c>
      <c r="D56" s="141">
        <v>55</v>
      </c>
      <c r="E56" s="104">
        <v>5330</v>
      </c>
      <c r="F56" s="70">
        <v>29</v>
      </c>
      <c r="G56" s="84" t="s">
        <v>701</v>
      </c>
      <c r="H56" s="106">
        <v>46002</v>
      </c>
      <c r="I56" s="66" t="s">
        <v>359</v>
      </c>
      <c r="J56" s="93" t="s">
        <v>280</v>
      </c>
      <c r="K56" s="158" t="s">
        <v>638</v>
      </c>
      <c r="L56" s="97">
        <f>_xlfn.IFS(NFSe_NC[[#This Row],[RETER ISS]]="NÃO",0,NFSe_NC[[#This Row],[RETER ISS]]="SIM",NFSe_NC[[#This Row],[VALOR NFS-e]]*5%)</f>
        <v>266.5</v>
      </c>
      <c r="M56" s="67" t="s">
        <v>637</v>
      </c>
      <c r="N56" s="244" cm="1">
        <f t="array" ref="N56">_xlfn.IFS(NFSe_NC[[#This Row],[RETER INSS]]="NÃO",0,NFSe_NC[[#This Row],[RETER INSS]]="SIM",NFSe_NC[[#This Row],[VALOR NFS-e]]*11%)</f>
        <v>0</v>
      </c>
      <c r="O56" s="241">
        <f t="shared" si="1"/>
        <v>5063.5</v>
      </c>
      <c r="P56" s="103" t="s">
        <v>12</v>
      </c>
      <c r="Q56" s="112" t="s">
        <v>12</v>
      </c>
      <c r="U56"/>
      <c r="V56"/>
    </row>
    <row r="57" spans="1:22" x14ac:dyDescent="0.3">
      <c r="A57" s="233">
        <v>1326</v>
      </c>
      <c r="B57" s="96" t="s">
        <v>562</v>
      </c>
      <c r="C57" s="157">
        <v>890</v>
      </c>
      <c r="D57" s="141">
        <v>56</v>
      </c>
      <c r="E57" s="104">
        <v>890</v>
      </c>
      <c r="F57" s="70">
        <v>63</v>
      </c>
      <c r="G57" s="84" t="s">
        <v>702</v>
      </c>
      <c r="H57" s="106">
        <v>46003</v>
      </c>
      <c r="I57" s="66" t="s">
        <v>359</v>
      </c>
      <c r="J57" s="93"/>
      <c r="K57" s="158" t="s">
        <v>637</v>
      </c>
      <c r="L57" s="97">
        <f>_xlfn.IFS(NFSe_NC[[#This Row],[RETER ISS]]="NÃO",0,NFSe_NC[[#This Row],[RETER ISS]]="SIM",NFSe_NC[[#This Row],[VALOR NFS-e]]*5%)</f>
        <v>0</v>
      </c>
      <c r="M57" s="67" t="s">
        <v>637</v>
      </c>
      <c r="N57" s="244" cm="1">
        <f t="array" ref="N57">_xlfn.IFS(NFSe_NC[[#This Row],[RETER INSS]]="NÃO",0,NFSe_NC[[#This Row],[RETER INSS]]="SIM",NFSe_NC[[#This Row],[VALOR NFS-e]]*11%)</f>
        <v>0</v>
      </c>
      <c r="O57" s="241">
        <f t="shared" si="1"/>
        <v>890</v>
      </c>
      <c r="P57" s="103" t="s">
        <v>12</v>
      </c>
      <c r="Q57" s="112" t="s">
        <v>12</v>
      </c>
      <c r="U57"/>
      <c r="V57"/>
    </row>
    <row r="58" spans="1:22" x14ac:dyDescent="0.3">
      <c r="A58" s="233">
        <v>983</v>
      </c>
      <c r="B58" s="96" t="s">
        <v>604</v>
      </c>
      <c r="C58" s="157">
        <v>10685</v>
      </c>
      <c r="D58" s="141">
        <v>57</v>
      </c>
      <c r="E58" s="104">
        <v>4480</v>
      </c>
      <c r="F58" s="70">
        <v>31</v>
      </c>
      <c r="G58" s="84" t="s">
        <v>703</v>
      </c>
      <c r="H58" s="106">
        <v>46008</v>
      </c>
      <c r="I58" s="66" t="s">
        <v>359</v>
      </c>
      <c r="J58" s="93" t="s">
        <v>279</v>
      </c>
      <c r="K58" s="158" t="s">
        <v>638</v>
      </c>
      <c r="L58" s="97">
        <f>_xlfn.IFS(NFSe_NC[[#This Row],[RETER ISS]]="NÃO",0,NFSe_NC[[#This Row],[RETER ISS]]="SIM",NFSe_NC[[#This Row],[VALOR NFS-e]]*5%)</f>
        <v>224</v>
      </c>
      <c r="M58" s="67" t="s">
        <v>638</v>
      </c>
      <c r="N58" s="244" cm="1">
        <f t="array" ref="N58">_xlfn.IFS(NFSe_NC[[#This Row],[RETER INSS]]="NÃO",0,NFSe_NC[[#This Row],[RETER INSS]]="SIM",NFSe_NC[[#This Row],[VALOR NFS-e]]*11%)</f>
        <v>492.8</v>
      </c>
      <c r="O58" s="241">
        <f t="shared" si="1"/>
        <v>3763.2</v>
      </c>
      <c r="P58" s="103" t="s">
        <v>12</v>
      </c>
      <c r="Q58" s="112" t="s">
        <v>12</v>
      </c>
      <c r="U58"/>
      <c r="V58"/>
    </row>
    <row r="59" spans="1:22" x14ac:dyDescent="0.3">
      <c r="A59" s="233">
        <v>393</v>
      </c>
      <c r="B59" s="96" t="s">
        <v>467</v>
      </c>
      <c r="C59" s="157">
        <v>7558</v>
      </c>
      <c r="D59" s="141">
        <v>58</v>
      </c>
      <c r="E59" s="104">
        <v>1520</v>
      </c>
      <c r="F59" s="70">
        <v>33</v>
      </c>
      <c r="G59" s="84" t="s">
        <v>704</v>
      </c>
      <c r="H59" s="106">
        <v>46008</v>
      </c>
      <c r="I59" s="66" t="s">
        <v>359</v>
      </c>
      <c r="J59" s="93" t="s">
        <v>280</v>
      </c>
      <c r="K59" s="158" t="s">
        <v>638</v>
      </c>
      <c r="L59" s="97">
        <f>_xlfn.IFS(NFSe_NC[[#This Row],[RETER ISS]]="NÃO",0,NFSe_NC[[#This Row],[RETER ISS]]="SIM",NFSe_NC[[#This Row],[VALOR NFS-e]]*5%)</f>
        <v>76</v>
      </c>
      <c r="M59" s="67" t="s">
        <v>637</v>
      </c>
      <c r="N59" s="244" cm="1">
        <f t="array" ref="N59">_xlfn.IFS(NFSe_NC[[#This Row],[RETER INSS]]="NÃO",0,NFSe_NC[[#This Row],[RETER INSS]]="SIM",NFSe_NC[[#This Row],[VALOR NFS-e]]*11%)</f>
        <v>0</v>
      </c>
      <c r="O59" s="241">
        <f t="shared" si="1"/>
        <v>1444</v>
      </c>
      <c r="P59" s="103" t="s">
        <v>12</v>
      </c>
      <c r="Q59" s="112" t="s">
        <v>12</v>
      </c>
      <c r="U59"/>
      <c r="V59"/>
    </row>
    <row r="60" spans="1:22" x14ac:dyDescent="0.3">
      <c r="A60" s="233">
        <v>1343</v>
      </c>
      <c r="B60" s="96" t="s">
        <v>528</v>
      </c>
      <c r="C60" s="157">
        <v>9344.06</v>
      </c>
      <c r="D60" s="141">
        <v>59</v>
      </c>
      <c r="E60" s="104">
        <v>890</v>
      </c>
      <c r="F60" s="70">
        <v>64</v>
      </c>
      <c r="G60" s="84" t="s">
        <v>705</v>
      </c>
      <c r="H60" s="106">
        <v>46008</v>
      </c>
      <c r="I60" s="66" t="s">
        <v>359</v>
      </c>
      <c r="J60" s="93"/>
      <c r="K60" s="158" t="s">
        <v>637</v>
      </c>
      <c r="L60" s="97">
        <f>_xlfn.IFS(NFSe_NC[[#This Row],[RETER ISS]]="NÃO",0,NFSe_NC[[#This Row],[RETER ISS]]="SIM",NFSe_NC[[#This Row],[VALOR NFS-e]]*5%)</f>
        <v>0</v>
      </c>
      <c r="M60" s="67" t="s">
        <v>637</v>
      </c>
      <c r="N60" s="244" cm="1">
        <f t="array" ref="N60">_xlfn.IFS(NFSe_NC[[#This Row],[RETER INSS]]="NÃO",0,NFSe_NC[[#This Row],[RETER INSS]]="SIM",NFSe_NC[[#This Row],[VALOR NFS-e]]*11%)</f>
        <v>0</v>
      </c>
      <c r="O60" s="241">
        <f t="shared" si="1"/>
        <v>890</v>
      </c>
      <c r="P60" s="103" t="s">
        <v>12</v>
      </c>
      <c r="Q60" s="112" t="s">
        <v>12</v>
      </c>
      <c r="U60"/>
      <c r="V60"/>
    </row>
    <row r="61" spans="1:22" x14ac:dyDescent="0.3">
      <c r="A61" s="233">
        <v>1340</v>
      </c>
      <c r="B61" s="96" t="s">
        <v>589</v>
      </c>
      <c r="C61" s="157">
        <v>890</v>
      </c>
      <c r="D61" s="141">
        <v>60</v>
      </c>
      <c r="E61" s="104">
        <v>890</v>
      </c>
      <c r="F61" s="70">
        <v>65</v>
      </c>
      <c r="G61" s="84" t="s">
        <v>706</v>
      </c>
      <c r="H61" s="106">
        <v>46009</v>
      </c>
      <c r="I61" s="66" t="s">
        <v>57</v>
      </c>
      <c r="J61" s="93"/>
      <c r="K61" s="158" t="s">
        <v>637</v>
      </c>
      <c r="L61" s="97">
        <f>_xlfn.IFS(NFSe_NC[[#This Row],[RETER ISS]]="NÃO",0,NFSe_NC[[#This Row],[RETER ISS]]="SIM",NFSe_NC[[#This Row],[VALOR NFS-e]]*5%)</f>
        <v>0</v>
      </c>
      <c r="M61" s="67" t="s">
        <v>637</v>
      </c>
      <c r="N61" s="244" cm="1">
        <f t="array" ref="N61">_xlfn.IFS(NFSe_NC[[#This Row],[RETER INSS]]="NÃO",0,NFSe_NC[[#This Row],[RETER INSS]]="SIM",NFSe_NC[[#This Row],[VALOR NFS-e]]*11%)</f>
        <v>0</v>
      </c>
      <c r="O61" s="241">
        <f t="shared" si="1"/>
        <v>890</v>
      </c>
      <c r="P61" s="103" t="s">
        <v>12</v>
      </c>
      <c r="Q61" s="112" t="s">
        <v>12</v>
      </c>
      <c r="U61"/>
      <c r="V61"/>
    </row>
    <row r="62" spans="1:22" x14ac:dyDescent="0.3">
      <c r="A62" s="233">
        <v>1328</v>
      </c>
      <c r="B62" s="96" t="s">
        <v>585</v>
      </c>
      <c r="C62" s="157">
        <v>2930</v>
      </c>
      <c r="D62" s="141">
        <v>61</v>
      </c>
      <c r="E62" s="104">
        <v>2930</v>
      </c>
      <c r="F62" s="70">
        <v>66</v>
      </c>
      <c r="G62" s="84" t="s">
        <v>707</v>
      </c>
      <c r="H62" s="106">
        <v>46009</v>
      </c>
      <c r="I62" s="66" t="s">
        <v>57</v>
      </c>
      <c r="J62" s="93"/>
      <c r="K62" s="158" t="s">
        <v>637</v>
      </c>
      <c r="L62" s="97">
        <f>_xlfn.IFS(NFSe_NC[[#This Row],[RETER ISS]]="NÃO",0,NFSe_NC[[#This Row],[RETER ISS]]="SIM",NFSe_NC[[#This Row],[VALOR NFS-e]]*5%)</f>
        <v>0</v>
      </c>
      <c r="M62" s="67" t="s">
        <v>637</v>
      </c>
      <c r="N62" s="244" cm="1">
        <f t="array" ref="N62">_xlfn.IFS(NFSe_NC[[#This Row],[RETER INSS]]="NÃO",0,NFSe_NC[[#This Row],[RETER INSS]]="SIM",NFSe_NC[[#This Row],[VALOR NFS-e]]*11%)</f>
        <v>0</v>
      </c>
      <c r="O62" s="241">
        <f t="shared" si="1"/>
        <v>2930</v>
      </c>
      <c r="P62" s="103" t="s">
        <v>12</v>
      </c>
      <c r="Q62" s="112" t="s">
        <v>12</v>
      </c>
      <c r="U62"/>
      <c r="V62"/>
    </row>
    <row r="63" spans="1:22" x14ac:dyDescent="0.3">
      <c r="A63" s="233">
        <v>1328</v>
      </c>
      <c r="B63" s="96" t="s">
        <v>585</v>
      </c>
      <c r="C63" s="157">
        <v>2930</v>
      </c>
      <c r="D63" s="141">
        <v>62</v>
      </c>
      <c r="E63" s="104">
        <v>2930</v>
      </c>
      <c r="F63" s="70">
        <v>37</v>
      </c>
      <c r="G63" s="84" t="s">
        <v>708</v>
      </c>
      <c r="H63" s="106">
        <v>46009</v>
      </c>
      <c r="I63" s="66" t="s">
        <v>138</v>
      </c>
      <c r="J63" s="93"/>
      <c r="K63" s="158" t="s">
        <v>637</v>
      </c>
      <c r="L63" s="97">
        <f>_xlfn.IFS(NFSe_NC[[#This Row],[RETER ISS]]="NÃO",0,NFSe_NC[[#This Row],[RETER ISS]]="SIM",NFSe_NC[[#This Row],[VALOR NFS-e]]*5%)</f>
        <v>0</v>
      </c>
      <c r="M63" s="67" t="s">
        <v>637</v>
      </c>
      <c r="N63" s="244" cm="1">
        <f t="array" ref="N63">_xlfn.IFS(NFSe_NC[[#This Row],[RETER INSS]]="NÃO",0,NFSe_NC[[#This Row],[RETER INSS]]="SIM",NFSe_NC[[#This Row],[VALOR NFS-e]]*11%)</f>
        <v>0</v>
      </c>
      <c r="O63" s="241">
        <f t="shared" si="1"/>
        <v>2930</v>
      </c>
      <c r="P63" s="103" t="s">
        <v>12</v>
      </c>
      <c r="Q63" s="112" t="s">
        <v>12</v>
      </c>
      <c r="U63"/>
      <c r="V63"/>
    </row>
    <row r="64" spans="1:22" x14ac:dyDescent="0.3">
      <c r="A64" s="233">
        <v>1352</v>
      </c>
      <c r="B64" s="96" t="s">
        <v>568</v>
      </c>
      <c r="C64" s="157">
        <v>1540</v>
      </c>
      <c r="D64" s="141">
        <v>63</v>
      </c>
      <c r="E64" s="104">
        <v>950</v>
      </c>
      <c r="F64" s="70">
        <v>68</v>
      </c>
      <c r="G64" s="84" t="s">
        <v>709</v>
      </c>
      <c r="H64" s="106">
        <v>46009</v>
      </c>
      <c r="I64" s="66" t="s">
        <v>359</v>
      </c>
      <c r="J64" s="93"/>
      <c r="K64" s="158" t="s">
        <v>637</v>
      </c>
      <c r="L64" s="97">
        <f>_xlfn.IFS(NFSe_NC[[#This Row],[RETER ISS]]="NÃO",0,NFSe_NC[[#This Row],[RETER ISS]]="SIM",NFSe_NC[[#This Row],[VALOR NFS-e]]*5%)</f>
        <v>0</v>
      </c>
      <c r="M64" s="67" t="s">
        <v>637</v>
      </c>
      <c r="N64" s="244" cm="1">
        <f t="array" ref="N64">_xlfn.IFS(NFSe_NC[[#This Row],[RETER INSS]]="NÃO",0,NFSe_NC[[#This Row],[RETER INSS]]="SIM",NFSe_NC[[#This Row],[VALOR NFS-e]]*11%)</f>
        <v>0</v>
      </c>
      <c r="O64" s="241">
        <f t="shared" si="1"/>
        <v>950</v>
      </c>
      <c r="P64" s="103" t="s">
        <v>12</v>
      </c>
      <c r="Q64" s="112" t="s">
        <v>12</v>
      </c>
      <c r="U64"/>
      <c r="V64"/>
    </row>
    <row r="65" spans="1:22" x14ac:dyDescent="0.3">
      <c r="A65" s="233">
        <v>1172</v>
      </c>
      <c r="B65" s="96" t="s">
        <v>572</v>
      </c>
      <c r="C65" s="157">
        <v>1945</v>
      </c>
      <c r="D65" s="141">
        <v>64</v>
      </c>
      <c r="E65" s="104">
        <v>950</v>
      </c>
      <c r="F65" s="70">
        <v>69</v>
      </c>
      <c r="G65" s="84" t="s">
        <v>710</v>
      </c>
      <c r="H65" s="106">
        <v>46010</v>
      </c>
      <c r="I65" s="66" t="s">
        <v>359</v>
      </c>
      <c r="J65" s="93"/>
      <c r="K65" s="158" t="s">
        <v>637</v>
      </c>
      <c r="L65" s="97">
        <f>_xlfn.IFS(NFSe_NC[[#This Row],[RETER ISS]]="NÃO",0,NFSe_NC[[#This Row],[RETER ISS]]="SIM",NFSe_NC[[#This Row],[VALOR NFS-e]]*5%)</f>
        <v>0</v>
      </c>
      <c r="M65" s="67" t="s">
        <v>637</v>
      </c>
      <c r="N65" s="244" cm="1">
        <f t="array" ref="N65">_xlfn.IFS(NFSe_NC[[#This Row],[RETER INSS]]="NÃO",0,NFSe_NC[[#This Row],[RETER INSS]]="SIM",NFSe_NC[[#This Row],[VALOR NFS-e]]*11%)</f>
        <v>0</v>
      </c>
      <c r="O65" s="241">
        <f t="shared" si="1"/>
        <v>950</v>
      </c>
      <c r="P65" s="103" t="s">
        <v>12</v>
      </c>
      <c r="Q65" s="112" t="s">
        <v>12</v>
      </c>
      <c r="U65"/>
      <c r="V65"/>
    </row>
    <row r="66" spans="1:22" x14ac:dyDescent="0.3">
      <c r="A66" s="233">
        <v>1293</v>
      </c>
      <c r="B66" s="96" t="s">
        <v>574</v>
      </c>
      <c r="C66" s="157">
        <v>1068</v>
      </c>
      <c r="D66" s="141">
        <v>65</v>
      </c>
      <c r="E66" s="104">
        <v>890</v>
      </c>
      <c r="F66" s="70">
        <v>39</v>
      </c>
      <c r="G66" s="84" t="s">
        <v>711</v>
      </c>
      <c r="H66" s="106">
        <v>46010</v>
      </c>
      <c r="I66" s="66" t="s">
        <v>359</v>
      </c>
      <c r="J66" s="93" t="s">
        <v>279</v>
      </c>
      <c r="K66" s="158" t="s">
        <v>638</v>
      </c>
      <c r="L66" s="97">
        <f>_xlfn.IFS(NFSe_NC[[#This Row],[RETER ISS]]="NÃO",0,NFSe_NC[[#This Row],[RETER ISS]]="SIM",NFSe_NC[[#This Row],[VALOR NFS-e]]*5%)</f>
        <v>44.5</v>
      </c>
      <c r="M66" s="67" t="s">
        <v>638</v>
      </c>
      <c r="N66" s="244" cm="1">
        <f t="array" ref="N66">_xlfn.IFS(NFSe_NC[[#This Row],[RETER INSS]]="NÃO",0,NFSe_NC[[#This Row],[RETER INSS]]="SIM",NFSe_NC[[#This Row],[VALOR NFS-e]]*11%)</f>
        <v>97.9</v>
      </c>
      <c r="O66" s="241">
        <f t="shared" ref="O66:O97" si="2">E66-L66-N66</f>
        <v>747.6</v>
      </c>
      <c r="P66" s="103" t="s">
        <v>12</v>
      </c>
      <c r="Q66" s="112" t="s">
        <v>12</v>
      </c>
      <c r="U66"/>
      <c r="V66"/>
    </row>
    <row r="67" spans="1:22" x14ac:dyDescent="0.3">
      <c r="A67" s="233">
        <v>1328</v>
      </c>
      <c r="B67" s="96" t="s">
        <v>585</v>
      </c>
      <c r="C67" s="157">
        <v>2930</v>
      </c>
      <c r="D67" s="141">
        <v>66</v>
      </c>
      <c r="E67" s="104">
        <v>2930</v>
      </c>
      <c r="F67" s="70">
        <v>41</v>
      </c>
      <c r="G67" s="84" t="s">
        <v>586</v>
      </c>
      <c r="H67" s="106">
        <v>46036</v>
      </c>
      <c r="I67" s="66" t="s">
        <v>359</v>
      </c>
      <c r="J67" s="93"/>
      <c r="K67" s="158" t="s">
        <v>637</v>
      </c>
      <c r="L67" s="97">
        <f>_xlfn.IFS(NFSe_NC[[#This Row],[RETER ISS]]="NÃO",0,NFSe_NC[[#This Row],[RETER ISS]]="SIM",NFSe_NC[[#This Row],[VALOR NFS-e]]*5%)</f>
        <v>0</v>
      </c>
      <c r="M67" s="67" t="s">
        <v>637</v>
      </c>
      <c r="N67" s="244" cm="1">
        <f t="array" ref="N67">_xlfn.IFS(NFSe_NC[[#This Row],[RETER INSS]]="NÃO",0,NFSe_NC[[#This Row],[RETER INSS]]="SIM",NFSe_NC[[#This Row],[VALOR NFS-e]]*11%)</f>
        <v>0</v>
      </c>
      <c r="O67" s="241">
        <f t="shared" si="2"/>
        <v>2930</v>
      </c>
      <c r="P67" s="103" t="s">
        <v>12</v>
      </c>
      <c r="Q67" s="112" t="s">
        <v>12</v>
      </c>
      <c r="U67"/>
      <c r="V67"/>
    </row>
    <row r="68" spans="1:22" x14ac:dyDescent="0.3">
      <c r="A68" s="233">
        <v>343</v>
      </c>
      <c r="B68" s="96" t="s">
        <v>587</v>
      </c>
      <c r="C68" s="157">
        <v>12090</v>
      </c>
      <c r="D68" s="141">
        <v>67</v>
      </c>
      <c r="E68" s="104">
        <v>12090</v>
      </c>
      <c r="F68" s="70">
        <v>43</v>
      </c>
      <c r="G68" s="84" t="s">
        <v>588</v>
      </c>
      <c r="H68" s="106">
        <v>46036</v>
      </c>
      <c r="I68" s="66" t="s">
        <v>359</v>
      </c>
      <c r="J68" s="93"/>
      <c r="K68" s="158" t="s">
        <v>637</v>
      </c>
      <c r="L68" s="97">
        <f>_xlfn.IFS(NFSe_NC[[#This Row],[RETER ISS]]="NÃO",0,NFSe_NC[[#This Row],[RETER ISS]]="SIM",NFSe_NC[[#This Row],[VALOR NFS-e]]*5%)</f>
        <v>0</v>
      </c>
      <c r="M68" s="67" t="s">
        <v>637</v>
      </c>
      <c r="N68" s="244" cm="1">
        <f t="array" ref="N68">_xlfn.IFS(NFSe_NC[[#This Row],[RETER INSS]]="NÃO",0,NFSe_NC[[#This Row],[RETER INSS]]="SIM",NFSe_NC[[#This Row],[VALOR NFS-e]]*11%)</f>
        <v>0</v>
      </c>
      <c r="O68" s="241">
        <f t="shared" si="2"/>
        <v>12090</v>
      </c>
      <c r="P68" s="103" t="s">
        <v>12</v>
      </c>
      <c r="Q68" s="112" t="s">
        <v>12</v>
      </c>
      <c r="U68"/>
      <c r="V68"/>
    </row>
    <row r="69" spans="1:22" x14ac:dyDescent="0.3">
      <c r="A69" s="233">
        <v>1340</v>
      </c>
      <c r="B69" s="96" t="s">
        <v>589</v>
      </c>
      <c r="C69" s="157">
        <v>890</v>
      </c>
      <c r="D69" s="141">
        <v>68</v>
      </c>
      <c r="E69" s="104">
        <v>890</v>
      </c>
      <c r="F69" s="70">
        <v>47</v>
      </c>
      <c r="G69" s="84" t="s">
        <v>590</v>
      </c>
      <c r="H69" s="106">
        <v>46036</v>
      </c>
      <c r="I69" s="66" t="s">
        <v>359</v>
      </c>
      <c r="J69" s="93"/>
      <c r="K69" s="158" t="s">
        <v>637</v>
      </c>
      <c r="L69" s="97">
        <f>_xlfn.IFS(NFSe_NC[[#This Row],[RETER ISS]]="NÃO",0,NFSe_NC[[#This Row],[RETER ISS]]="SIM",NFSe_NC[[#This Row],[VALOR NFS-e]]*5%)</f>
        <v>0</v>
      </c>
      <c r="M69" s="67" t="s">
        <v>637</v>
      </c>
      <c r="N69" s="244" cm="1">
        <f t="array" ref="N69">_xlfn.IFS(NFSe_NC[[#This Row],[RETER INSS]]="NÃO",0,NFSe_NC[[#This Row],[RETER INSS]]="SIM",NFSe_NC[[#This Row],[VALOR NFS-e]]*11%)</f>
        <v>0</v>
      </c>
      <c r="O69" s="241">
        <f t="shared" si="2"/>
        <v>890</v>
      </c>
      <c r="P69" s="103" t="s">
        <v>12</v>
      </c>
      <c r="Q69" s="112" t="s">
        <v>12</v>
      </c>
      <c r="U69"/>
      <c r="V69"/>
    </row>
    <row r="70" spans="1:22" x14ac:dyDescent="0.3">
      <c r="A70" s="233">
        <v>1174</v>
      </c>
      <c r="B70" s="96" t="s">
        <v>591</v>
      </c>
      <c r="C70" s="157">
        <v>2243.6</v>
      </c>
      <c r="D70" s="141">
        <v>69</v>
      </c>
      <c r="E70" s="104">
        <v>890</v>
      </c>
      <c r="F70" s="70">
        <v>49</v>
      </c>
      <c r="G70" s="84" t="s">
        <v>592</v>
      </c>
      <c r="H70" s="106">
        <v>46037</v>
      </c>
      <c r="I70" s="66" t="s">
        <v>359</v>
      </c>
      <c r="J70" s="93"/>
      <c r="K70" s="158" t="s">
        <v>637</v>
      </c>
      <c r="L70" s="97">
        <f>_xlfn.IFS(NFSe_NC[[#This Row],[RETER ISS]]="NÃO",0,NFSe_NC[[#This Row],[RETER ISS]]="SIM",NFSe_NC[[#This Row],[VALOR NFS-e]]*5%)</f>
        <v>0</v>
      </c>
      <c r="M70" s="67" t="s">
        <v>637</v>
      </c>
      <c r="N70" s="244" cm="1">
        <f t="array" ref="N70">_xlfn.IFS(NFSe_NC[[#This Row],[RETER INSS]]="NÃO",0,NFSe_NC[[#This Row],[RETER INSS]]="SIM",NFSe_NC[[#This Row],[VALOR NFS-e]]*11%)</f>
        <v>0</v>
      </c>
      <c r="O70" s="241">
        <f t="shared" si="2"/>
        <v>890</v>
      </c>
      <c r="P70" s="103" t="s">
        <v>12</v>
      </c>
      <c r="Q70" s="112" t="s">
        <v>12</v>
      </c>
      <c r="U70"/>
      <c r="V70"/>
    </row>
    <row r="71" spans="1:22" x14ac:dyDescent="0.3">
      <c r="A71" s="233">
        <v>1193</v>
      </c>
      <c r="B71" s="96" t="s">
        <v>501</v>
      </c>
      <c r="C71" s="157">
        <v>27710.5</v>
      </c>
      <c r="D71" s="141">
        <v>70</v>
      </c>
      <c r="E71" s="104">
        <v>4290</v>
      </c>
      <c r="F71" s="70">
        <v>53</v>
      </c>
      <c r="G71" s="84" t="s">
        <v>593</v>
      </c>
      <c r="H71" s="106">
        <v>46038</v>
      </c>
      <c r="I71" s="66" t="s">
        <v>359</v>
      </c>
      <c r="J71" s="93" t="s">
        <v>279</v>
      </c>
      <c r="K71" s="158" t="s">
        <v>638</v>
      </c>
      <c r="L71" s="97">
        <f>_xlfn.IFS(NFSe_NC[[#This Row],[RETER ISS]]="NÃO",0,NFSe_NC[[#This Row],[RETER ISS]]="SIM",NFSe_NC[[#This Row],[VALOR NFS-e]]*5%)</f>
        <v>214.5</v>
      </c>
      <c r="M71" s="67" t="s">
        <v>638</v>
      </c>
      <c r="N71" s="244" cm="1">
        <f t="array" ref="N71">_xlfn.IFS(NFSe_NC[[#This Row],[RETER INSS]]="NÃO",0,NFSe_NC[[#This Row],[RETER INSS]]="SIM",NFSe_NC[[#This Row],[VALOR NFS-e]]*11%)</f>
        <v>471.9</v>
      </c>
      <c r="O71" s="241">
        <f t="shared" si="2"/>
        <v>3603.6</v>
      </c>
      <c r="P71" s="103" t="s">
        <v>12</v>
      </c>
      <c r="Q71" s="112" t="s">
        <v>12</v>
      </c>
      <c r="U71"/>
      <c r="V71"/>
    </row>
    <row r="72" spans="1:22" x14ac:dyDescent="0.3">
      <c r="A72" s="233">
        <v>1375</v>
      </c>
      <c r="B72" s="96" t="s">
        <v>597</v>
      </c>
      <c r="C72" s="157">
        <v>2550</v>
      </c>
      <c r="D72" s="141">
        <v>71</v>
      </c>
      <c r="E72" s="104">
        <v>2550</v>
      </c>
      <c r="F72" s="70">
        <v>55</v>
      </c>
      <c r="G72" s="84" t="s">
        <v>598</v>
      </c>
      <c r="H72" s="106">
        <v>46041</v>
      </c>
      <c r="I72" s="66" t="s">
        <v>359</v>
      </c>
      <c r="J72" s="93"/>
      <c r="K72" s="158" t="s">
        <v>637</v>
      </c>
      <c r="L72" s="97">
        <f>_xlfn.IFS(NFSe_NC[[#This Row],[RETER ISS]]="NÃO",0,NFSe_NC[[#This Row],[RETER ISS]]="SIM",NFSe_NC[[#This Row],[VALOR NFS-e]]*5%)</f>
        <v>0</v>
      </c>
      <c r="M72" s="67" t="s">
        <v>637</v>
      </c>
      <c r="N72" s="244" cm="1">
        <f t="array" ref="N72">_xlfn.IFS(NFSe_NC[[#This Row],[RETER INSS]]="NÃO",0,NFSe_NC[[#This Row],[RETER INSS]]="SIM",NFSe_NC[[#This Row],[VALOR NFS-e]]*11%)</f>
        <v>0</v>
      </c>
      <c r="O72" s="241">
        <f t="shared" si="2"/>
        <v>2550</v>
      </c>
      <c r="P72" s="103" t="s">
        <v>12</v>
      </c>
      <c r="Q72" s="112" t="s">
        <v>12</v>
      </c>
      <c r="U72"/>
      <c r="V72"/>
    </row>
    <row r="73" spans="1:22" x14ac:dyDescent="0.3">
      <c r="A73" s="233">
        <v>1323</v>
      </c>
      <c r="B73" s="96" t="s">
        <v>512</v>
      </c>
      <c r="C73" s="157">
        <v>2100</v>
      </c>
      <c r="D73" s="141">
        <v>72</v>
      </c>
      <c r="E73" s="104">
        <v>450</v>
      </c>
      <c r="F73" s="70">
        <v>57</v>
      </c>
      <c r="G73" s="84" t="s">
        <v>599</v>
      </c>
      <c r="H73" s="106">
        <v>46041</v>
      </c>
      <c r="I73" s="66" t="s">
        <v>359</v>
      </c>
      <c r="J73" s="93"/>
      <c r="K73" s="158" t="s">
        <v>637</v>
      </c>
      <c r="L73" s="97">
        <f>_xlfn.IFS(NFSe_NC[[#This Row],[RETER ISS]]="NÃO",0,NFSe_NC[[#This Row],[RETER ISS]]="SIM",NFSe_NC[[#This Row],[VALOR NFS-e]]*5%)</f>
        <v>0</v>
      </c>
      <c r="M73" s="67" t="s">
        <v>637</v>
      </c>
      <c r="N73" s="244" cm="1">
        <f t="array" ref="N73">_xlfn.IFS(NFSe_NC[[#This Row],[RETER INSS]]="NÃO",0,NFSe_NC[[#This Row],[RETER INSS]]="SIM",NFSe_NC[[#This Row],[VALOR NFS-e]]*11%)</f>
        <v>0</v>
      </c>
      <c r="O73" s="241">
        <f t="shared" si="2"/>
        <v>450</v>
      </c>
      <c r="P73" s="103" t="s">
        <v>12</v>
      </c>
      <c r="Q73" s="112" t="s">
        <v>12</v>
      </c>
      <c r="U73"/>
      <c r="V73"/>
    </row>
    <row r="74" spans="1:22" x14ac:dyDescent="0.3">
      <c r="A74" s="233">
        <v>1130</v>
      </c>
      <c r="B74" s="96" t="s">
        <v>512</v>
      </c>
      <c r="C74" s="157">
        <v>6763</v>
      </c>
      <c r="D74" s="141">
        <v>73</v>
      </c>
      <c r="E74" s="104">
        <v>3690</v>
      </c>
      <c r="F74" s="70">
        <v>59</v>
      </c>
      <c r="G74" s="84" t="s">
        <v>600</v>
      </c>
      <c r="H74" s="106">
        <v>46041</v>
      </c>
      <c r="I74" s="66" t="s">
        <v>359</v>
      </c>
      <c r="J74" s="93"/>
      <c r="K74" s="158" t="s">
        <v>637</v>
      </c>
      <c r="L74" s="97">
        <f>_xlfn.IFS(NFSe_NC[[#This Row],[RETER ISS]]="NÃO",0,NFSe_NC[[#This Row],[RETER ISS]]="SIM",NFSe_NC[[#This Row],[VALOR NFS-e]]*5%)</f>
        <v>0</v>
      </c>
      <c r="M74" s="67" t="s">
        <v>637</v>
      </c>
      <c r="N74" s="244" cm="1">
        <f t="array" ref="N74">_xlfn.IFS(NFSe_NC[[#This Row],[RETER INSS]]="NÃO",0,NFSe_NC[[#This Row],[RETER INSS]]="SIM",NFSe_NC[[#This Row],[VALOR NFS-e]]*11%)</f>
        <v>0</v>
      </c>
      <c r="O74" s="241">
        <f t="shared" si="2"/>
        <v>3690</v>
      </c>
      <c r="P74" s="103" t="s">
        <v>12</v>
      </c>
      <c r="Q74" s="112" t="s">
        <v>12</v>
      </c>
      <c r="U74"/>
      <c r="V74"/>
    </row>
    <row r="75" spans="1:22" x14ac:dyDescent="0.3">
      <c r="A75" s="233">
        <v>1369</v>
      </c>
      <c r="B75" s="96" t="s">
        <v>601</v>
      </c>
      <c r="C75" s="157">
        <v>890</v>
      </c>
      <c r="D75" s="141">
        <v>74</v>
      </c>
      <c r="E75" s="104">
        <v>890</v>
      </c>
      <c r="F75" s="70">
        <v>61</v>
      </c>
      <c r="G75" s="84" t="s">
        <v>602</v>
      </c>
      <c r="H75" s="106">
        <v>46041</v>
      </c>
      <c r="I75" s="66" t="s">
        <v>359</v>
      </c>
      <c r="J75" s="93"/>
      <c r="K75" s="158" t="s">
        <v>637</v>
      </c>
      <c r="L75" s="97">
        <f>_xlfn.IFS(NFSe_NC[[#This Row],[RETER ISS]]="NÃO",0,NFSe_NC[[#This Row],[RETER ISS]]="SIM",NFSe_NC[[#This Row],[VALOR NFS-e]]*5%)</f>
        <v>0</v>
      </c>
      <c r="M75" s="67" t="s">
        <v>637</v>
      </c>
      <c r="N75" s="244" cm="1">
        <f t="array" ref="N75">_xlfn.IFS(NFSe_NC[[#This Row],[RETER INSS]]="NÃO",0,NFSe_NC[[#This Row],[RETER INSS]]="SIM",NFSe_NC[[#This Row],[VALOR NFS-e]]*11%)</f>
        <v>0</v>
      </c>
      <c r="O75" s="241">
        <f t="shared" si="2"/>
        <v>890</v>
      </c>
      <c r="P75" s="103" t="s">
        <v>12</v>
      </c>
      <c r="Q75" s="112" t="s">
        <v>12</v>
      </c>
      <c r="U75"/>
      <c r="V75"/>
    </row>
    <row r="76" spans="1:22" x14ac:dyDescent="0.3">
      <c r="A76" s="233">
        <v>916</v>
      </c>
      <c r="B76" s="96" t="s">
        <v>712</v>
      </c>
      <c r="C76" s="157">
        <v>24146.1</v>
      </c>
      <c r="D76" s="141">
        <v>75</v>
      </c>
      <c r="E76" s="104">
        <v>11140</v>
      </c>
      <c r="F76" s="70">
        <v>63</v>
      </c>
      <c r="G76" s="84" t="s">
        <v>603</v>
      </c>
      <c r="H76" s="106">
        <v>46041</v>
      </c>
      <c r="I76" s="66" t="s">
        <v>359</v>
      </c>
      <c r="J76" s="93" t="s">
        <v>279</v>
      </c>
      <c r="K76" s="158" t="s">
        <v>638</v>
      </c>
      <c r="L76" s="97">
        <f>_xlfn.IFS(NFSe_NC[[#This Row],[RETER ISS]]="NÃO",0,NFSe_NC[[#This Row],[RETER ISS]]="SIM",NFSe_NC[[#This Row],[VALOR NFS-e]]*5%)</f>
        <v>557</v>
      </c>
      <c r="M76" s="67" t="s">
        <v>638</v>
      </c>
      <c r="N76" s="244" cm="1">
        <f t="array" ref="N76">_xlfn.IFS(NFSe_NC[[#This Row],[RETER INSS]]="NÃO",0,NFSe_NC[[#This Row],[RETER INSS]]="SIM",NFSe_NC[[#This Row],[VALOR NFS-e]]*11%)</f>
        <v>1225.4000000000001</v>
      </c>
      <c r="O76" s="241">
        <f t="shared" si="2"/>
        <v>9357.6</v>
      </c>
      <c r="P76" s="103" t="s">
        <v>12</v>
      </c>
      <c r="Q76" s="112" t="s">
        <v>12</v>
      </c>
      <c r="U76"/>
      <c r="V76"/>
    </row>
    <row r="77" spans="1:22" x14ac:dyDescent="0.3">
      <c r="A77" s="233">
        <v>984</v>
      </c>
      <c r="B77" s="96" t="s">
        <v>604</v>
      </c>
      <c r="C77" s="157">
        <v>19700</v>
      </c>
      <c r="D77" s="141">
        <v>76</v>
      </c>
      <c r="E77" s="104">
        <v>7290</v>
      </c>
      <c r="F77" s="70">
        <v>65</v>
      </c>
      <c r="G77" s="84" t="s">
        <v>605</v>
      </c>
      <c r="H77" s="106">
        <v>46042</v>
      </c>
      <c r="I77" s="66" t="s">
        <v>57</v>
      </c>
      <c r="J77" s="93" t="s">
        <v>279</v>
      </c>
      <c r="K77" s="158" t="s">
        <v>638</v>
      </c>
      <c r="L77" s="97">
        <f>_xlfn.IFS(NFSe_NC[[#This Row],[RETER ISS]]="NÃO",0,NFSe_NC[[#This Row],[RETER ISS]]="SIM",NFSe_NC[[#This Row],[VALOR NFS-e]]*5%)</f>
        <v>364.5</v>
      </c>
      <c r="M77" s="67" t="s">
        <v>638</v>
      </c>
      <c r="N77" s="244" cm="1">
        <f t="array" ref="N77">_xlfn.IFS(NFSe_NC[[#This Row],[RETER INSS]]="NÃO",0,NFSe_NC[[#This Row],[RETER INSS]]="SIM",NFSe_NC[[#This Row],[VALOR NFS-e]]*11%)</f>
        <v>801.9</v>
      </c>
      <c r="O77" s="241">
        <f t="shared" si="2"/>
        <v>6123.6</v>
      </c>
      <c r="P77" s="103" t="s">
        <v>12</v>
      </c>
      <c r="Q77" s="112" t="s">
        <v>12</v>
      </c>
      <c r="U77"/>
      <c r="V77"/>
    </row>
    <row r="78" spans="1:22" x14ac:dyDescent="0.3">
      <c r="A78" s="233">
        <v>866</v>
      </c>
      <c r="B78" s="96" t="s">
        <v>207</v>
      </c>
      <c r="C78" s="157">
        <v>33440</v>
      </c>
      <c r="D78" s="141">
        <v>77</v>
      </c>
      <c r="E78" s="104">
        <v>11220</v>
      </c>
      <c r="F78" s="70">
        <v>67</v>
      </c>
      <c r="G78" s="84" t="s">
        <v>606</v>
      </c>
      <c r="H78" s="106">
        <v>46042</v>
      </c>
      <c r="I78" s="66" t="s">
        <v>57</v>
      </c>
      <c r="J78" s="93" t="s">
        <v>279</v>
      </c>
      <c r="K78" s="158" t="s">
        <v>638</v>
      </c>
      <c r="L78" s="97">
        <f>_xlfn.IFS(NFSe_NC[[#This Row],[RETER ISS]]="NÃO",0,NFSe_NC[[#This Row],[RETER ISS]]="SIM",NFSe_NC[[#This Row],[VALOR NFS-e]]*5%)</f>
        <v>561</v>
      </c>
      <c r="M78" s="67" t="s">
        <v>638</v>
      </c>
      <c r="N78" s="244" cm="1">
        <f t="array" ref="N78">_xlfn.IFS(NFSe_NC[[#This Row],[RETER INSS]]="NÃO",0,NFSe_NC[[#This Row],[RETER INSS]]="SIM",NFSe_NC[[#This Row],[VALOR NFS-e]]*11%)</f>
        <v>1234.2</v>
      </c>
      <c r="O78" s="241">
        <f t="shared" si="2"/>
        <v>9424.7999999999993</v>
      </c>
      <c r="P78" s="103" t="s">
        <v>12</v>
      </c>
      <c r="Q78" s="112" t="s">
        <v>12</v>
      </c>
      <c r="U78"/>
      <c r="V78"/>
    </row>
    <row r="79" spans="1:22" x14ac:dyDescent="0.3">
      <c r="A79" s="233" t="s">
        <v>15</v>
      </c>
      <c r="B79" s="96" t="s">
        <v>607</v>
      </c>
      <c r="C79" s="157">
        <v>8279.0400000000009</v>
      </c>
      <c r="D79" s="141">
        <v>78</v>
      </c>
      <c r="E79" s="104">
        <v>8279.0400000000009</v>
      </c>
      <c r="F79" s="70">
        <v>69</v>
      </c>
      <c r="G79" s="84" t="s">
        <v>608</v>
      </c>
      <c r="H79" s="106">
        <v>46042</v>
      </c>
      <c r="I79" s="66" t="s">
        <v>359</v>
      </c>
      <c r="J79" s="93" t="s">
        <v>225</v>
      </c>
      <c r="K79" s="158" t="s">
        <v>637</v>
      </c>
      <c r="L79" s="97">
        <f>_xlfn.IFS(NFSe_NC[[#This Row],[RETER ISS]]="NÃO",0,NFSe_NC[[#This Row],[RETER ISS]]="SIM",NFSe_NC[[#This Row],[VALOR NFS-e]]*5%)</f>
        <v>0</v>
      </c>
      <c r="M79" s="67" t="s">
        <v>637</v>
      </c>
      <c r="N79" s="244" cm="1">
        <f t="array" ref="N79">_xlfn.IFS(NFSe_NC[[#This Row],[RETER INSS]]="NÃO",0,NFSe_NC[[#This Row],[RETER INSS]]="SIM",NFSe_NC[[#This Row],[VALOR NFS-e]]*11%)</f>
        <v>0</v>
      </c>
      <c r="O79" s="241">
        <f t="shared" si="2"/>
        <v>8279.0400000000009</v>
      </c>
      <c r="P79" s="103" t="s">
        <v>12</v>
      </c>
      <c r="Q79" s="112" t="s">
        <v>12</v>
      </c>
      <c r="U79"/>
      <c r="V79"/>
    </row>
    <row r="80" spans="1:22" x14ac:dyDescent="0.3">
      <c r="A80" s="233">
        <v>1414</v>
      </c>
      <c r="B80" s="96" t="s">
        <v>609</v>
      </c>
      <c r="C80" s="157">
        <v>801</v>
      </c>
      <c r="D80" s="141">
        <v>79</v>
      </c>
      <c r="E80" s="104">
        <v>801</v>
      </c>
      <c r="F80" s="70">
        <v>71</v>
      </c>
      <c r="G80" s="84" t="s">
        <v>610</v>
      </c>
      <c r="H80" s="106">
        <v>46044</v>
      </c>
      <c r="I80" s="66" t="s">
        <v>359</v>
      </c>
      <c r="J80" s="93"/>
      <c r="K80" s="158" t="s">
        <v>637</v>
      </c>
      <c r="L80" s="97">
        <f>_xlfn.IFS(NFSe_NC[[#This Row],[RETER ISS]]="NÃO",0,NFSe_NC[[#This Row],[RETER ISS]]="SIM",NFSe_NC[[#This Row],[VALOR NFS-e]]*5%)</f>
        <v>0</v>
      </c>
      <c r="M80" s="67" t="s">
        <v>637</v>
      </c>
      <c r="N80" s="244" cm="1">
        <f t="array" ref="N80">_xlfn.IFS(NFSe_NC[[#This Row],[RETER INSS]]="NÃO",0,NFSe_NC[[#This Row],[RETER INSS]]="SIM",NFSe_NC[[#This Row],[VALOR NFS-e]]*11%)</f>
        <v>0</v>
      </c>
      <c r="O80" s="241">
        <f t="shared" si="2"/>
        <v>801</v>
      </c>
      <c r="P80" s="103" t="s">
        <v>12</v>
      </c>
      <c r="Q80" s="112" t="s">
        <v>12</v>
      </c>
      <c r="U80"/>
      <c r="V80"/>
    </row>
    <row r="81" spans="1:22" x14ac:dyDescent="0.3">
      <c r="A81" s="233">
        <v>1412</v>
      </c>
      <c r="B81" s="96" t="s">
        <v>611</v>
      </c>
      <c r="C81" s="157">
        <v>4299</v>
      </c>
      <c r="D81" s="141">
        <v>80</v>
      </c>
      <c r="E81" s="104">
        <v>1780</v>
      </c>
      <c r="F81" s="70">
        <v>78</v>
      </c>
      <c r="G81" s="84" t="s">
        <v>612</v>
      </c>
      <c r="H81" s="106">
        <v>46044</v>
      </c>
      <c r="I81" s="66" t="s">
        <v>359</v>
      </c>
      <c r="J81" s="93"/>
      <c r="K81" s="158" t="s">
        <v>637</v>
      </c>
      <c r="L81" s="97">
        <f>_xlfn.IFS(NFSe_NC[[#This Row],[RETER ISS]]="NÃO",0,NFSe_NC[[#This Row],[RETER ISS]]="SIM",NFSe_NC[[#This Row],[VALOR NFS-e]]*5%)</f>
        <v>0</v>
      </c>
      <c r="M81" s="67" t="s">
        <v>637</v>
      </c>
      <c r="N81" s="244" cm="1">
        <f t="array" ref="N81">_xlfn.IFS(NFSe_NC[[#This Row],[RETER INSS]]="NÃO",0,NFSe_NC[[#This Row],[RETER INSS]]="SIM",NFSe_NC[[#This Row],[VALOR NFS-e]]*11%)</f>
        <v>0</v>
      </c>
      <c r="O81" s="241">
        <f t="shared" si="2"/>
        <v>1780</v>
      </c>
      <c r="P81" s="103" t="s">
        <v>12</v>
      </c>
      <c r="Q81" s="112" t="s">
        <v>12</v>
      </c>
      <c r="U81"/>
      <c r="V81"/>
    </row>
    <row r="82" spans="1:22" x14ac:dyDescent="0.3">
      <c r="A82" s="233">
        <v>1292</v>
      </c>
      <c r="B82" s="96" t="s">
        <v>613</v>
      </c>
      <c r="C82" s="157">
        <v>3735</v>
      </c>
      <c r="D82" s="141">
        <v>81</v>
      </c>
      <c r="E82" s="104">
        <v>1350</v>
      </c>
      <c r="F82" s="70">
        <v>80</v>
      </c>
      <c r="G82" s="84" t="s">
        <v>614</v>
      </c>
      <c r="H82" s="106">
        <v>46045</v>
      </c>
      <c r="I82" s="66" t="s">
        <v>57</v>
      </c>
      <c r="J82" s="93" t="s">
        <v>616</v>
      </c>
      <c r="K82" s="158" t="s">
        <v>637</v>
      </c>
      <c r="L82" s="97">
        <f>_xlfn.IFS(NFSe_NC[[#This Row],[RETER ISS]]="NÃO",0,NFSe_NC[[#This Row],[RETER ISS]]="SIM",NFSe_NC[[#This Row],[VALOR NFS-e]]*5%)</f>
        <v>0</v>
      </c>
      <c r="M82" s="67" t="s">
        <v>638</v>
      </c>
      <c r="N82" s="244" cm="1">
        <f t="array" ref="N82">_xlfn.IFS(NFSe_NC[[#This Row],[RETER INSS]]="NÃO",0,NFSe_NC[[#This Row],[RETER INSS]]="SIM",NFSe_NC[[#This Row],[VALOR NFS-e]]*11%)</f>
        <v>148.5</v>
      </c>
      <c r="O82" s="241">
        <f t="shared" si="2"/>
        <v>1201.5</v>
      </c>
      <c r="P82" s="103" t="s">
        <v>12</v>
      </c>
      <c r="Q82" s="112" t="s">
        <v>12</v>
      </c>
      <c r="U82"/>
      <c r="V82"/>
    </row>
    <row r="83" spans="1:22" x14ac:dyDescent="0.3">
      <c r="A83" s="233">
        <v>1292</v>
      </c>
      <c r="B83" s="96" t="s">
        <v>613</v>
      </c>
      <c r="C83" s="157">
        <v>3735</v>
      </c>
      <c r="D83" s="141">
        <v>82</v>
      </c>
      <c r="E83" s="104">
        <v>1350</v>
      </c>
      <c r="F83" s="70">
        <v>83</v>
      </c>
      <c r="G83" s="84" t="s">
        <v>615</v>
      </c>
      <c r="H83" s="106">
        <v>46045</v>
      </c>
      <c r="I83" s="66" t="s">
        <v>138</v>
      </c>
      <c r="J83" s="93" t="s">
        <v>624</v>
      </c>
      <c r="K83" s="158" t="s">
        <v>638</v>
      </c>
      <c r="L83" s="97">
        <f>_xlfn.IFS(NFSe_NC[[#This Row],[RETER ISS]]="NÃO",0,NFSe_NC[[#This Row],[RETER ISS]]="SIM",NFSe_NC[[#This Row],[VALOR NFS-e]]*5%)</f>
        <v>67.5</v>
      </c>
      <c r="M83" s="67" t="s">
        <v>638</v>
      </c>
      <c r="N83" s="244" cm="1">
        <f t="array" ref="N83">_xlfn.IFS(NFSe_NC[[#This Row],[RETER INSS]]="NÃO",0,NFSe_NC[[#This Row],[RETER INSS]]="SIM",NFSe_NC[[#This Row],[VALOR NFS-e]]*11%)</f>
        <v>148.5</v>
      </c>
      <c r="O83" s="241">
        <f t="shared" si="2"/>
        <v>1134</v>
      </c>
      <c r="P83" s="103" t="s">
        <v>12</v>
      </c>
      <c r="Q83" s="112" t="s">
        <v>12</v>
      </c>
      <c r="U83"/>
      <c r="V83"/>
    </row>
    <row r="84" spans="1:22" x14ac:dyDescent="0.3">
      <c r="A84" s="233">
        <v>1409</v>
      </c>
      <c r="B84" s="96" t="s">
        <v>577</v>
      </c>
      <c r="C84" s="157">
        <v>3874.5</v>
      </c>
      <c r="D84" s="141">
        <v>83</v>
      </c>
      <c r="E84" s="104">
        <v>2630</v>
      </c>
      <c r="F84" s="70">
        <v>85</v>
      </c>
      <c r="G84" s="84" t="s">
        <v>617</v>
      </c>
      <c r="H84" s="106">
        <v>46048</v>
      </c>
      <c r="I84" s="66" t="s">
        <v>359</v>
      </c>
      <c r="J84" s="93" t="s">
        <v>280</v>
      </c>
      <c r="K84" s="158" t="s">
        <v>638</v>
      </c>
      <c r="L84" s="97">
        <f>_xlfn.IFS(NFSe_NC[[#This Row],[RETER ISS]]="NÃO",0,NFSe_NC[[#This Row],[RETER ISS]]="SIM",NFSe_NC[[#This Row],[VALOR NFS-e]]*5%)</f>
        <v>131.5</v>
      </c>
      <c r="M84" s="67" t="s">
        <v>637</v>
      </c>
      <c r="N84" s="244" cm="1">
        <f t="array" ref="N84">_xlfn.IFS(NFSe_NC[[#This Row],[RETER INSS]]="NÃO",0,NFSe_NC[[#This Row],[RETER INSS]]="SIM",NFSe_NC[[#This Row],[VALOR NFS-e]]*11%)</f>
        <v>0</v>
      </c>
      <c r="O84" s="241">
        <f t="shared" si="2"/>
        <v>2498.5</v>
      </c>
      <c r="P84" s="103" t="s">
        <v>12</v>
      </c>
      <c r="Q84" s="112" t="s">
        <v>12</v>
      </c>
      <c r="U84"/>
      <c r="V84"/>
    </row>
    <row r="85" spans="1:22" x14ac:dyDescent="0.3">
      <c r="A85" s="234">
        <v>1416</v>
      </c>
      <c r="B85" s="99" t="s">
        <v>618</v>
      </c>
      <c r="C85" s="148">
        <v>890</v>
      </c>
      <c r="D85" s="149">
        <v>84</v>
      </c>
      <c r="E85" s="105">
        <v>890</v>
      </c>
      <c r="F85" s="71">
        <v>87</v>
      </c>
      <c r="G85" s="110" t="s">
        <v>619</v>
      </c>
      <c r="H85" s="107">
        <v>46048</v>
      </c>
      <c r="I85" s="68" t="s">
        <v>359</v>
      </c>
      <c r="J85" s="94"/>
      <c r="K85" s="159" t="s">
        <v>637</v>
      </c>
      <c r="L85" s="97">
        <f>_xlfn.IFS(NFSe_NC[[#This Row],[RETER ISS]]="NÃO",0,NFSe_NC[[#This Row],[RETER ISS]]="SIM",NFSe_NC[[#This Row],[VALOR NFS-e]]*5%)</f>
        <v>0</v>
      </c>
      <c r="M85" s="72" t="s">
        <v>637</v>
      </c>
      <c r="N85" s="244" cm="1">
        <f t="array" ref="N85">_xlfn.IFS(NFSe_NC[[#This Row],[RETER INSS]]="NÃO",0,NFSe_NC[[#This Row],[RETER INSS]]="SIM",NFSe_NC[[#This Row],[VALOR NFS-e]]*11%)</f>
        <v>0</v>
      </c>
      <c r="O85" s="220">
        <f t="shared" si="2"/>
        <v>890</v>
      </c>
      <c r="P85" s="108" t="s">
        <v>12</v>
      </c>
      <c r="Q85" s="113" t="s">
        <v>12</v>
      </c>
      <c r="U85"/>
      <c r="V85"/>
    </row>
    <row r="86" spans="1:22" x14ac:dyDescent="0.3">
      <c r="A86" s="234">
        <v>1346</v>
      </c>
      <c r="B86" s="99" t="s">
        <v>591</v>
      </c>
      <c r="C86" s="148">
        <v>2246</v>
      </c>
      <c r="D86" s="149">
        <v>85</v>
      </c>
      <c r="E86" s="105">
        <v>890</v>
      </c>
      <c r="F86" s="98">
        <v>89</v>
      </c>
      <c r="G86" s="110" t="s">
        <v>620</v>
      </c>
      <c r="H86" s="101">
        <v>46049</v>
      </c>
      <c r="I86" s="68" t="s">
        <v>359</v>
      </c>
      <c r="J86" s="124"/>
      <c r="K86" s="159" t="s">
        <v>637</v>
      </c>
      <c r="L86" s="97">
        <f>_xlfn.IFS(NFSe_NC[[#This Row],[RETER ISS]]="NÃO",0,NFSe_NC[[#This Row],[RETER ISS]]="SIM",NFSe_NC[[#This Row],[VALOR NFS-e]]*5%)</f>
        <v>0</v>
      </c>
      <c r="M86" s="72" t="s">
        <v>637</v>
      </c>
      <c r="N86" s="244" cm="1">
        <f t="array" ref="N86">_xlfn.IFS(NFSe_NC[[#This Row],[RETER INSS]]="NÃO",0,NFSe_NC[[#This Row],[RETER INSS]]="SIM",NFSe_NC[[#This Row],[VALOR NFS-e]]*11%)</f>
        <v>0</v>
      </c>
      <c r="O86" s="220">
        <f t="shared" si="2"/>
        <v>890</v>
      </c>
      <c r="P86" s="108" t="s">
        <v>12</v>
      </c>
      <c r="Q86" s="113" t="s">
        <v>12</v>
      </c>
      <c r="S86" s="1"/>
      <c r="T86" s="1"/>
      <c r="U86"/>
      <c r="V86"/>
    </row>
    <row r="87" spans="1:22" x14ac:dyDescent="0.3">
      <c r="A87" s="234">
        <v>1334</v>
      </c>
      <c r="B87" s="99" t="s">
        <v>622</v>
      </c>
      <c r="C87" s="148">
        <v>2689.79</v>
      </c>
      <c r="D87" s="149">
        <v>86</v>
      </c>
      <c r="E87" s="105">
        <v>2500</v>
      </c>
      <c r="F87" s="98">
        <v>91</v>
      </c>
      <c r="G87" s="110" t="s">
        <v>621</v>
      </c>
      <c r="H87" s="101">
        <v>46050</v>
      </c>
      <c r="I87" s="68" t="s">
        <v>138</v>
      </c>
      <c r="J87" s="124"/>
      <c r="K87" s="159" t="s">
        <v>637</v>
      </c>
      <c r="L87" s="97">
        <f>_xlfn.IFS(NFSe_NC[[#This Row],[RETER ISS]]="NÃO",0,NFSe_NC[[#This Row],[RETER ISS]]="SIM",NFSe_NC[[#This Row],[VALOR NFS-e]]*5%)</f>
        <v>0</v>
      </c>
      <c r="M87" s="72" t="s">
        <v>637</v>
      </c>
      <c r="N87" s="244" cm="1">
        <f t="array" ref="N87">_xlfn.IFS(NFSe_NC[[#This Row],[RETER INSS]]="NÃO",0,NFSe_NC[[#This Row],[RETER INSS]]="SIM",NFSe_NC[[#This Row],[VALOR NFS-e]]*11%)</f>
        <v>0</v>
      </c>
      <c r="O87" s="220">
        <f t="shared" si="2"/>
        <v>2500</v>
      </c>
      <c r="P87" s="108" t="s">
        <v>12</v>
      </c>
      <c r="Q87" s="113" t="s">
        <v>12</v>
      </c>
      <c r="S87" s="1"/>
      <c r="T87" s="1"/>
      <c r="U87"/>
      <c r="V87"/>
    </row>
    <row r="88" spans="1:22" x14ac:dyDescent="0.3">
      <c r="A88" s="234">
        <v>1292</v>
      </c>
      <c r="B88" s="99" t="s">
        <v>613</v>
      </c>
      <c r="C88" s="148">
        <v>3735</v>
      </c>
      <c r="D88" s="149">
        <v>87</v>
      </c>
      <c r="E88" s="105">
        <v>1350</v>
      </c>
      <c r="F88" s="98">
        <v>93</v>
      </c>
      <c r="G88" s="110" t="s">
        <v>623</v>
      </c>
      <c r="H88" s="101">
        <v>46051</v>
      </c>
      <c r="I88" s="68" t="s">
        <v>359</v>
      </c>
      <c r="J88" s="124" t="s">
        <v>624</v>
      </c>
      <c r="K88" s="159" t="s">
        <v>638</v>
      </c>
      <c r="L88" s="97">
        <f>_xlfn.IFS(NFSe_NC[[#This Row],[RETER ISS]]="NÃO",0,NFSe_NC[[#This Row],[RETER ISS]]="SIM",NFSe_NC[[#This Row],[VALOR NFS-e]]*5%)</f>
        <v>67.5</v>
      </c>
      <c r="M88" s="72" t="s">
        <v>638</v>
      </c>
      <c r="N88" s="244" cm="1">
        <f t="array" ref="N88">_xlfn.IFS(NFSe_NC[[#This Row],[RETER INSS]]="NÃO",0,NFSe_NC[[#This Row],[RETER INSS]]="SIM",NFSe_NC[[#This Row],[VALOR NFS-e]]*11%)</f>
        <v>148.5</v>
      </c>
      <c r="O88" s="220">
        <f t="shared" si="2"/>
        <v>1134</v>
      </c>
      <c r="P88" s="108" t="s">
        <v>12</v>
      </c>
      <c r="Q88" s="113" t="s">
        <v>12</v>
      </c>
      <c r="S88" s="1"/>
      <c r="T88" s="1"/>
      <c r="U88"/>
      <c r="V88"/>
    </row>
    <row r="89" spans="1:22" x14ac:dyDescent="0.3">
      <c r="A89" s="234">
        <v>1450</v>
      </c>
      <c r="B89" s="99" t="s">
        <v>625</v>
      </c>
      <c r="C89" s="148">
        <v>890</v>
      </c>
      <c r="D89" s="149">
        <v>88</v>
      </c>
      <c r="E89" s="105">
        <v>890</v>
      </c>
      <c r="F89" s="98">
        <v>95</v>
      </c>
      <c r="G89" s="110" t="s">
        <v>626</v>
      </c>
      <c r="H89" s="101">
        <v>46051</v>
      </c>
      <c r="I89" s="68" t="s">
        <v>359</v>
      </c>
      <c r="J89" s="124"/>
      <c r="K89" s="159" t="s">
        <v>637</v>
      </c>
      <c r="L89" s="97">
        <f>_xlfn.IFS(NFSe_NC[[#This Row],[RETER ISS]]="NÃO",0,NFSe_NC[[#This Row],[RETER ISS]]="SIM",NFSe_NC[[#This Row],[VALOR NFS-e]]*5%)</f>
        <v>0</v>
      </c>
      <c r="M89" s="72" t="s">
        <v>637</v>
      </c>
      <c r="N89" s="244" cm="1">
        <f t="array" ref="N89">_xlfn.IFS(NFSe_NC[[#This Row],[RETER INSS]]="NÃO",0,NFSe_NC[[#This Row],[RETER INSS]]="SIM",NFSe_NC[[#This Row],[VALOR NFS-e]]*11%)</f>
        <v>0</v>
      </c>
      <c r="O89" s="220">
        <f t="shared" si="2"/>
        <v>890</v>
      </c>
      <c r="P89" s="108" t="s">
        <v>12</v>
      </c>
      <c r="Q89" s="113" t="s">
        <v>12</v>
      </c>
      <c r="S89" s="1"/>
      <c r="T89" s="1"/>
      <c r="U89"/>
      <c r="V89"/>
    </row>
    <row r="90" spans="1:22" x14ac:dyDescent="0.3">
      <c r="A90" s="234">
        <v>1431</v>
      </c>
      <c r="B90" s="99" t="s">
        <v>609</v>
      </c>
      <c r="C90" s="148">
        <v>2188.4499999999998</v>
      </c>
      <c r="D90" s="149">
        <v>89</v>
      </c>
      <c r="E90" s="105">
        <v>900</v>
      </c>
      <c r="F90" s="98">
        <v>97</v>
      </c>
      <c r="G90" s="110" t="s">
        <v>627</v>
      </c>
      <c r="H90" s="101">
        <v>46052</v>
      </c>
      <c r="I90" s="68" t="s">
        <v>359</v>
      </c>
      <c r="J90" s="124"/>
      <c r="K90" s="159" t="s">
        <v>637</v>
      </c>
      <c r="L90" s="97">
        <f>_xlfn.IFS(NFSe_NC[[#This Row],[RETER ISS]]="NÃO",0,NFSe_NC[[#This Row],[RETER ISS]]="SIM",NFSe_NC[[#This Row],[VALOR NFS-e]]*5%)</f>
        <v>0</v>
      </c>
      <c r="M90" s="72" t="s">
        <v>637</v>
      </c>
      <c r="N90" s="244" cm="1">
        <f t="array" ref="N90">_xlfn.IFS(NFSe_NC[[#This Row],[RETER INSS]]="NÃO",0,NFSe_NC[[#This Row],[RETER INSS]]="SIM",NFSe_NC[[#This Row],[VALOR NFS-e]]*11%)</f>
        <v>0</v>
      </c>
      <c r="O90" s="220">
        <f t="shared" si="2"/>
        <v>900</v>
      </c>
      <c r="P90" s="108" t="s">
        <v>12</v>
      </c>
      <c r="Q90" s="113" t="s">
        <v>12</v>
      </c>
      <c r="S90" s="1"/>
      <c r="T90" s="1"/>
      <c r="U90"/>
      <c r="V90"/>
    </row>
    <row r="91" spans="1:22" x14ac:dyDescent="0.3">
      <c r="A91" s="234">
        <v>1334</v>
      </c>
      <c r="B91" s="99" t="s">
        <v>622</v>
      </c>
      <c r="C91" s="148">
        <v>2689.79</v>
      </c>
      <c r="D91" s="149">
        <v>90</v>
      </c>
      <c r="E91" s="105">
        <v>2500</v>
      </c>
      <c r="F91" s="98">
        <v>99</v>
      </c>
      <c r="G91" s="110" t="s">
        <v>628</v>
      </c>
      <c r="H91" s="101">
        <v>46052</v>
      </c>
      <c r="I91" s="68" t="s">
        <v>359</v>
      </c>
      <c r="J91" s="124"/>
      <c r="K91" s="159" t="s">
        <v>637</v>
      </c>
      <c r="L91" s="97">
        <f>_xlfn.IFS(NFSe_NC[[#This Row],[RETER ISS]]="NÃO",0,NFSe_NC[[#This Row],[RETER ISS]]="SIM",NFSe_NC[[#This Row],[VALOR NFS-e]]*5%)</f>
        <v>0</v>
      </c>
      <c r="M91" s="72" t="s">
        <v>637</v>
      </c>
      <c r="N91" s="244" cm="1">
        <f t="array" ref="N91">_xlfn.IFS(NFSe_NC[[#This Row],[RETER INSS]]="NÃO",0,NFSe_NC[[#This Row],[RETER INSS]]="SIM",NFSe_NC[[#This Row],[VALOR NFS-e]]*11%)</f>
        <v>0</v>
      </c>
      <c r="O91" s="220">
        <f t="shared" si="2"/>
        <v>2500</v>
      </c>
      <c r="P91" s="108" t="s">
        <v>12</v>
      </c>
      <c r="Q91" s="113" t="s">
        <v>12</v>
      </c>
      <c r="S91" s="1"/>
      <c r="T91" s="1"/>
      <c r="U91"/>
      <c r="V91"/>
    </row>
    <row r="92" spans="1:22" x14ac:dyDescent="0.3">
      <c r="A92" s="234">
        <v>1411</v>
      </c>
      <c r="B92" s="99" t="s">
        <v>528</v>
      </c>
      <c r="C92" s="148">
        <v>890</v>
      </c>
      <c r="D92" s="149">
        <v>91</v>
      </c>
      <c r="E92" s="105">
        <v>890</v>
      </c>
      <c r="F92" s="98">
        <v>101</v>
      </c>
      <c r="G92" s="110" t="s">
        <v>629</v>
      </c>
      <c r="H92" s="101">
        <v>46055</v>
      </c>
      <c r="I92" s="68" t="s">
        <v>359</v>
      </c>
      <c r="J92" s="124"/>
      <c r="K92" s="159" t="s">
        <v>637</v>
      </c>
      <c r="L92" s="97">
        <f>_xlfn.IFS(NFSe_NC[[#This Row],[RETER ISS]]="NÃO",0,NFSe_NC[[#This Row],[RETER ISS]]="SIM",NFSe_NC[[#This Row],[VALOR NFS-e]]*5%)</f>
        <v>0</v>
      </c>
      <c r="M92" s="72" t="s">
        <v>637</v>
      </c>
      <c r="N92" s="244" cm="1">
        <f t="array" ref="N92">_xlfn.IFS(NFSe_NC[[#This Row],[RETER INSS]]="NÃO",0,NFSe_NC[[#This Row],[RETER INSS]]="SIM",NFSe_NC[[#This Row],[VALOR NFS-e]]*11%)</f>
        <v>0</v>
      </c>
      <c r="O92" s="220">
        <f t="shared" si="2"/>
        <v>890</v>
      </c>
      <c r="P92" s="108" t="s">
        <v>12</v>
      </c>
      <c r="Q92" s="113" t="s">
        <v>12</v>
      </c>
      <c r="S92" s="1"/>
      <c r="T92" s="1"/>
      <c r="U92"/>
      <c r="V92"/>
    </row>
    <row r="93" spans="1:22" x14ac:dyDescent="0.3">
      <c r="A93" s="234">
        <v>866</v>
      </c>
      <c r="B93" s="99" t="s">
        <v>207</v>
      </c>
      <c r="C93" s="148">
        <v>33440</v>
      </c>
      <c r="D93" s="149">
        <v>92</v>
      </c>
      <c r="E93" s="105">
        <v>11220</v>
      </c>
      <c r="F93" s="98">
        <v>103</v>
      </c>
      <c r="G93" s="110" t="s">
        <v>630</v>
      </c>
      <c r="H93" s="101">
        <v>46055</v>
      </c>
      <c r="I93" s="68" t="s">
        <v>359</v>
      </c>
      <c r="J93" s="124" t="s">
        <v>279</v>
      </c>
      <c r="K93" s="159" t="s">
        <v>638</v>
      </c>
      <c r="L93" s="97">
        <f>_xlfn.IFS(NFSe_NC[[#This Row],[RETER ISS]]="NÃO",0,NFSe_NC[[#This Row],[RETER ISS]]="SIM",NFSe_NC[[#This Row],[VALOR NFS-e]]*5%)</f>
        <v>561</v>
      </c>
      <c r="M93" s="72" t="s">
        <v>638</v>
      </c>
      <c r="N93" s="244" cm="1">
        <f t="array" ref="N93">_xlfn.IFS(NFSe_NC[[#This Row],[RETER INSS]]="NÃO",0,NFSe_NC[[#This Row],[RETER INSS]]="SIM",NFSe_NC[[#This Row],[VALOR NFS-e]]*11%)</f>
        <v>1234.2</v>
      </c>
      <c r="O93" s="220">
        <f t="shared" si="2"/>
        <v>9424.7999999999993</v>
      </c>
      <c r="P93" s="108" t="s">
        <v>12</v>
      </c>
      <c r="Q93" s="113" t="s">
        <v>12</v>
      </c>
      <c r="S93" s="1"/>
      <c r="T93" s="1"/>
      <c r="U93"/>
      <c r="V93"/>
    </row>
    <row r="94" spans="1:22" x14ac:dyDescent="0.3">
      <c r="A94" s="234">
        <v>984</v>
      </c>
      <c r="B94" s="99" t="s">
        <v>604</v>
      </c>
      <c r="C94" s="148">
        <v>19700</v>
      </c>
      <c r="D94" s="149">
        <v>93</v>
      </c>
      <c r="E94" s="105">
        <v>7290</v>
      </c>
      <c r="F94" s="98">
        <v>105</v>
      </c>
      <c r="G94" s="110" t="s">
        <v>631</v>
      </c>
      <c r="H94" s="101">
        <v>46055</v>
      </c>
      <c r="I94" s="68" t="s">
        <v>359</v>
      </c>
      <c r="J94" s="124" t="s">
        <v>279</v>
      </c>
      <c r="K94" s="159" t="s">
        <v>638</v>
      </c>
      <c r="L94" s="97">
        <f>_xlfn.IFS(NFSe_NC[[#This Row],[RETER ISS]]="NÃO",0,NFSe_NC[[#This Row],[RETER ISS]]="SIM",NFSe_NC[[#This Row],[VALOR NFS-e]]*5%)</f>
        <v>364.5</v>
      </c>
      <c r="M94" s="72" t="s">
        <v>638</v>
      </c>
      <c r="N94" s="244" cm="1">
        <f t="array" ref="N94">_xlfn.IFS(NFSe_NC[[#This Row],[RETER INSS]]="NÃO",0,NFSe_NC[[#This Row],[RETER INSS]]="SIM",NFSe_NC[[#This Row],[VALOR NFS-e]]*11%)</f>
        <v>801.9</v>
      </c>
      <c r="O94" s="220">
        <f t="shared" si="2"/>
        <v>6123.6</v>
      </c>
      <c r="P94" s="108" t="s">
        <v>12</v>
      </c>
      <c r="Q94" s="113" t="s">
        <v>12</v>
      </c>
      <c r="S94" s="1"/>
      <c r="T94" s="1"/>
      <c r="U94"/>
      <c r="V94"/>
    </row>
    <row r="95" spans="1:22" x14ac:dyDescent="0.3">
      <c r="A95" s="234">
        <v>641</v>
      </c>
      <c r="B95" s="99" t="s">
        <v>549</v>
      </c>
      <c r="C95" s="148">
        <v>16175</v>
      </c>
      <c r="D95" s="149">
        <v>94</v>
      </c>
      <c r="E95" s="105">
        <v>7030</v>
      </c>
      <c r="F95" s="98">
        <v>107</v>
      </c>
      <c r="G95" s="110" t="s">
        <v>632</v>
      </c>
      <c r="H95" s="101">
        <v>46055</v>
      </c>
      <c r="I95" s="68" t="s">
        <v>359</v>
      </c>
      <c r="J95" s="124" t="s">
        <v>280</v>
      </c>
      <c r="K95" s="159" t="s">
        <v>638</v>
      </c>
      <c r="L95" s="97">
        <f>_xlfn.IFS(NFSe_NC[[#This Row],[RETER ISS]]="NÃO",0,NFSe_NC[[#This Row],[RETER ISS]]="SIM",NFSe_NC[[#This Row],[VALOR NFS-e]]*5%)</f>
        <v>351.5</v>
      </c>
      <c r="M95" s="72" t="s">
        <v>637</v>
      </c>
      <c r="N95" s="244" cm="1">
        <f t="array" ref="N95">_xlfn.IFS(NFSe_NC[[#This Row],[RETER INSS]]="NÃO",0,NFSe_NC[[#This Row],[RETER INSS]]="SIM",NFSe_NC[[#This Row],[VALOR NFS-e]]*11%)</f>
        <v>0</v>
      </c>
      <c r="O95" s="220">
        <f t="shared" si="2"/>
        <v>6678.5</v>
      </c>
      <c r="P95" s="108" t="s">
        <v>12</v>
      </c>
      <c r="Q95" s="113" t="s">
        <v>12</v>
      </c>
      <c r="S95" s="1"/>
      <c r="T95" s="1"/>
      <c r="U95"/>
      <c r="V95"/>
    </row>
    <row r="96" spans="1:22" x14ac:dyDescent="0.3">
      <c r="A96" s="234">
        <v>1336</v>
      </c>
      <c r="B96" s="99" t="s">
        <v>634</v>
      </c>
      <c r="C96" s="148">
        <v>11806</v>
      </c>
      <c r="D96" s="149">
        <v>95</v>
      </c>
      <c r="E96" s="105">
        <v>3810</v>
      </c>
      <c r="F96" s="98">
        <v>1</v>
      </c>
      <c r="G96" s="110" t="s">
        <v>633</v>
      </c>
      <c r="H96" s="101">
        <v>46058</v>
      </c>
      <c r="I96" s="68" t="s">
        <v>359</v>
      </c>
      <c r="J96" s="124"/>
      <c r="K96" s="159" t="s">
        <v>637</v>
      </c>
      <c r="L96" s="97">
        <f>_xlfn.IFS(NFSe_NC[[#This Row],[RETER ISS]]="NÃO",0,NFSe_NC[[#This Row],[RETER ISS]]="SIM",NFSe_NC[[#This Row],[VALOR NFS-e]]*5%)</f>
        <v>0</v>
      </c>
      <c r="M96" s="72" t="s">
        <v>637</v>
      </c>
      <c r="N96" s="244" cm="1">
        <f t="array" ref="N96">_xlfn.IFS(NFSe_NC[[#This Row],[RETER INSS]]="NÃO",0,NFSe_NC[[#This Row],[RETER INSS]]="SIM",NFSe_NC[[#This Row],[VALOR NFS-e]]*11%)</f>
        <v>0</v>
      </c>
      <c r="O96" s="220">
        <f t="shared" si="2"/>
        <v>3810</v>
      </c>
      <c r="P96" s="108" t="s">
        <v>12</v>
      </c>
      <c r="Q96" s="113" t="s">
        <v>12</v>
      </c>
      <c r="S96" s="1"/>
      <c r="T96" s="1"/>
      <c r="U96"/>
      <c r="V96"/>
    </row>
    <row r="97" spans="1:22" x14ac:dyDescent="0.3">
      <c r="A97" s="234">
        <v>1496</v>
      </c>
      <c r="B97" s="99" t="s">
        <v>635</v>
      </c>
      <c r="C97" s="148">
        <v>845.5</v>
      </c>
      <c r="D97" s="149">
        <v>96</v>
      </c>
      <c r="E97" s="105">
        <v>845.5</v>
      </c>
      <c r="F97" s="98">
        <v>2</v>
      </c>
      <c r="G97" s="110" t="s">
        <v>636</v>
      </c>
      <c r="H97" s="101">
        <v>46059</v>
      </c>
      <c r="I97" s="68" t="s">
        <v>359</v>
      </c>
      <c r="J97" s="124"/>
      <c r="K97" s="159" t="s">
        <v>637</v>
      </c>
      <c r="L97" s="97">
        <f>_xlfn.IFS(NFSe_NC[[#This Row],[RETER ISS]]="NÃO",0,NFSe_NC[[#This Row],[RETER ISS]]="SIM",NFSe_NC[[#This Row],[VALOR NFS-e]]*5%)</f>
        <v>0</v>
      </c>
      <c r="M97" s="72" t="s">
        <v>637</v>
      </c>
      <c r="N97" s="244" cm="1">
        <f t="array" ref="N97">_xlfn.IFS(NFSe_NC[[#This Row],[RETER INSS]]="NÃO",0,NFSe_NC[[#This Row],[RETER INSS]]="SIM",NFSe_NC[[#This Row],[VALOR NFS-e]]*11%)</f>
        <v>0</v>
      </c>
      <c r="O97" s="220">
        <f t="shared" si="2"/>
        <v>845.5</v>
      </c>
      <c r="P97" s="108" t="s">
        <v>12</v>
      </c>
      <c r="Q97" s="113" t="s">
        <v>12</v>
      </c>
      <c r="S97" s="1"/>
      <c r="T97" s="1"/>
      <c r="U97"/>
      <c r="V97"/>
    </row>
    <row r="98" spans="1:22" x14ac:dyDescent="0.3">
      <c r="A98" s="234">
        <v>1364</v>
      </c>
      <c r="B98" s="99" t="s">
        <v>581</v>
      </c>
      <c r="C98" s="148">
        <v>8863</v>
      </c>
      <c r="D98" s="149">
        <v>97</v>
      </c>
      <c r="E98" s="105">
        <v>4180</v>
      </c>
      <c r="F98" s="98">
        <v>4</v>
      </c>
      <c r="G98" s="110" t="s">
        <v>584</v>
      </c>
      <c r="H98" s="101">
        <v>46063</v>
      </c>
      <c r="I98" s="68" t="s">
        <v>57</v>
      </c>
      <c r="J98" s="124"/>
      <c r="K98" s="159" t="s">
        <v>637</v>
      </c>
      <c r="L98" s="97">
        <f>_xlfn.IFS(NFSe_NC[[#This Row],[RETER ISS]]="NÃO",0,NFSe_NC[[#This Row],[RETER ISS]]="SIM",NFSe_NC[[#This Row],[VALOR NFS-e]]*5%)</f>
        <v>0</v>
      </c>
      <c r="M98" s="72" t="s">
        <v>637</v>
      </c>
      <c r="N98" s="244" cm="1">
        <f t="array" ref="N98">_xlfn.IFS(NFSe_NC[[#This Row],[RETER INSS]]="NÃO",0,NFSe_NC[[#This Row],[RETER INSS]]="SIM",NFSe_NC[[#This Row],[VALOR NFS-e]]*11%)</f>
        <v>0</v>
      </c>
      <c r="O98" s="220">
        <f t="shared" ref="O98:O129" si="3">E98-L98-N98</f>
        <v>4180</v>
      </c>
      <c r="P98" s="108" t="s">
        <v>12</v>
      </c>
      <c r="Q98" s="113" t="s">
        <v>12</v>
      </c>
      <c r="S98" s="1"/>
      <c r="T98" s="1"/>
      <c r="U98"/>
      <c r="V98"/>
    </row>
    <row r="99" spans="1:22" x14ac:dyDescent="0.3">
      <c r="A99" s="234">
        <v>1254</v>
      </c>
      <c r="B99" s="99" t="s">
        <v>726</v>
      </c>
      <c r="C99" s="148">
        <v>8018</v>
      </c>
      <c r="D99" s="143">
        <v>98</v>
      </c>
      <c r="E99" s="105">
        <v>4340</v>
      </c>
      <c r="F99" s="98">
        <v>5</v>
      </c>
      <c r="G99" s="110" t="s">
        <v>728</v>
      </c>
      <c r="H99" s="101">
        <v>46064</v>
      </c>
      <c r="I99" s="68" t="s">
        <v>359</v>
      </c>
      <c r="J99" s="124" t="s">
        <v>280</v>
      </c>
      <c r="K99" s="159" t="s">
        <v>638</v>
      </c>
      <c r="L99" s="97">
        <f>_xlfn.IFS(NFSe_NC[[#This Row],[RETER ISS]]="NÃO",0,NFSe_NC[[#This Row],[RETER ISS]]="SIM",NFSe_NC[[#This Row],[VALOR NFS-e]]*5%)</f>
        <v>217</v>
      </c>
      <c r="M99" s="72" t="s">
        <v>637</v>
      </c>
      <c r="N99" s="244" cm="1">
        <f t="array" ref="N99">_xlfn.IFS(NFSe_NC[[#This Row],[RETER INSS]]="NÃO",0,NFSe_NC[[#This Row],[RETER INSS]]="SIM",NFSe_NC[[#This Row],[VALOR NFS-e]]*11%)</f>
        <v>0</v>
      </c>
      <c r="O99" s="220">
        <f t="shared" si="3"/>
        <v>4123</v>
      </c>
      <c r="P99" s="108"/>
      <c r="Q99" s="113"/>
      <c r="S99" s="1"/>
      <c r="T99" s="1"/>
      <c r="U99"/>
      <c r="V99"/>
    </row>
    <row r="100" spans="1:22" x14ac:dyDescent="0.3">
      <c r="A100" s="234">
        <v>1364</v>
      </c>
      <c r="B100" s="150" t="s">
        <v>581</v>
      </c>
      <c r="C100" s="148">
        <v>8863</v>
      </c>
      <c r="D100" s="143">
        <v>99</v>
      </c>
      <c r="E100" s="105">
        <v>4180</v>
      </c>
      <c r="F100" s="98">
        <v>6</v>
      </c>
      <c r="G100" s="110" t="s">
        <v>757</v>
      </c>
      <c r="H100" s="101">
        <v>46064</v>
      </c>
      <c r="I100" s="68" t="s">
        <v>359</v>
      </c>
      <c r="J100" s="124"/>
      <c r="K100" s="159" t="s">
        <v>637</v>
      </c>
      <c r="L100" s="97">
        <f>_xlfn.IFS(NFSe_NC[[#This Row],[RETER ISS]]="NÃO",0,NFSe_NC[[#This Row],[RETER ISS]]="SIM",NFSe_NC[[#This Row],[VALOR NFS-e]]*5%)</f>
        <v>0</v>
      </c>
      <c r="M100" s="72" t="s">
        <v>637</v>
      </c>
      <c r="N100" s="244" cm="1">
        <f t="array" ref="N100">_xlfn.IFS(NFSe_NC[[#This Row],[RETER INSS]]="NÃO",0,NFSe_NC[[#This Row],[RETER INSS]]="SIM",NFSe_NC[[#This Row],[VALOR NFS-e]]*11%)</f>
        <v>0</v>
      </c>
      <c r="O100" s="220">
        <f t="shared" si="3"/>
        <v>4180</v>
      </c>
      <c r="P100" s="108"/>
      <c r="Q100" s="113"/>
      <c r="S100" s="1"/>
      <c r="T100" s="1"/>
      <c r="U100"/>
      <c r="V100"/>
    </row>
    <row r="101" spans="1:22" x14ac:dyDescent="0.3">
      <c r="A101" s="233">
        <v>1498</v>
      </c>
      <c r="B101" s="175" t="s">
        <v>766</v>
      </c>
      <c r="C101" s="157">
        <v>1250</v>
      </c>
      <c r="D101" s="142">
        <v>100</v>
      </c>
      <c r="E101" s="104">
        <v>1250</v>
      </c>
      <c r="F101" s="176">
        <v>7</v>
      </c>
      <c r="G101" s="84" t="s">
        <v>767</v>
      </c>
      <c r="H101" s="177">
        <v>46065</v>
      </c>
      <c r="I101" s="66" t="s">
        <v>359</v>
      </c>
      <c r="J101" s="125" t="s">
        <v>280</v>
      </c>
      <c r="K101" s="158" t="s">
        <v>638</v>
      </c>
      <c r="L101" s="97">
        <f>_xlfn.IFS(NFSe_NC[[#This Row],[RETER ISS]]="NÃO",0,NFSe_NC[[#This Row],[RETER ISS]]="SIM",NFSe_NC[[#This Row],[VALOR NFS-e]]*5%)</f>
        <v>62.5</v>
      </c>
      <c r="M101" s="67" t="s">
        <v>637</v>
      </c>
      <c r="N101" s="244" cm="1">
        <f t="array" ref="N101">_xlfn.IFS(NFSe_NC[[#This Row],[RETER INSS]]="NÃO",0,NFSe_NC[[#This Row],[RETER INSS]]="SIM",NFSe_NC[[#This Row],[VALOR NFS-e]]*11%)</f>
        <v>0</v>
      </c>
      <c r="O101" s="241">
        <f t="shared" si="3"/>
        <v>1187.5</v>
      </c>
      <c r="P101" s="103"/>
      <c r="Q101" s="112"/>
      <c r="S101" s="1"/>
      <c r="T101" s="1"/>
      <c r="U101"/>
      <c r="V101"/>
    </row>
    <row r="102" spans="1:22" x14ac:dyDescent="0.3">
      <c r="A102" s="235">
        <v>1351</v>
      </c>
      <c r="B102" s="178" t="s">
        <v>428</v>
      </c>
      <c r="C102" s="161">
        <v>15569</v>
      </c>
      <c r="D102" s="318">
        <v>101</v>
      </c>
      <c r="E102" s="162">
        <v>7420</v>
      </c>
      <c r="F102" s="5">
        <v>8</v>
      </c>
      <c r="G102" s="179" t="s">
        <v>787</v>
      </c>
      <c r="H102" s="180">
        <v>46071</v>
      </c>
      <c r="I102" s="181" t="s">
        <v>359</v>
      </c>
      <c r="J102" s="182"/>
      <c r="K102" s="254" t="s">
        <v>637</v>
      </c>
      <c r="L102" s="97">
        <f>_xlfn.IFS(NFSe_NC[[#This Row],[RETER ISS]]="NÃO",0,NFSe_NC[[#This Row],[RETER ISS]]="SIM",NFSe_NC[[#This Row],[VALOR NFS-e]]*5%)</f>
        <v>0</v>
      </c>
      <c r="M102" s="95" t="s">
        <v>637</v>
      </c>
      <c r="N102" s="244" cm="1">
        <f t="array" ref="N102">_xlfn.IFS(NFSe_NC[[#This Row],[RETER INSS]]="NÃO",0,NFSe_NC[[#This Row],[RETER INSS]]="SIM",NFSe_NC[[#This Row],[VALOR NFS-e]]*11%)</f>
        <v>0</v>
      </c>
      <c r="O102" s="242">
        <f t="shared" si="3"/>
        <v>7420</v>
      </c>
      <c r="P102" s="6"/>
      <c r="Q102" s="183"/>
      <c r="S102" s="1"/>
      <c r="T102" s="1"/>
      <c r="U102"/>
      <c r="V102"/>
    </row>
    <row r="103" spans="1:22" x14ac:dyDescent="0.3">
      <c r="A103" s="234">
        <v>1535</v>
      </c>
      <c r="B103" s="150" t="s">
        <v>808</v>
      </c>
      <c r="C103" s="109">
        <v>890</v>
      </c>
      <c r="D103" s="143">
        <v>102</v>
      </c>
      <c r="E103" s="105">
        <v>890</v>
      </c>
      <c r="F103" s="98">
        <v>9</v>
      </c>
      <c r="G103" s="110" t="s">
        <v>812</v>
      </c>
      <c r="H103" s="101">
        <v>46072</v>
      </c>
      <c r="I103" s="68" t="s">
        <v>359</v>
      </c>
      <c r="J103" s="124"/>
      <c r="K103" s="159" t="s">
        <v>637</v>
      </c>
      <c r="L103" s="97">
        <f>_xlfn.IFS(NFSe_NC[[#This Row],[RETER ISS]]="NÃO",0,NFSe_NC[[#This Row],[RETER ISS]]="SIM",NFSe_NC[[#This Row],[VALOR NFS-e]]*5%)</f>
        <v>0</v>
      </c>
      <c r="M103" s="72" t="s">
        <v>637</v>
      </c>
      <c r="N103" s="244" cm="1">
        <f t="array" ref="N103">_xlfn.IFS(NFSe_NC[[#This Row],[RETER INSS]]="NÃO",0,NFSe_NC[[#This Row],[RETER INSS]]="SIM",NFSe_NC[[#This Row],[VALOR NFS-e]]*11%)</f>
        <v>0</v>
      </c>
      <c r="O103" s="220">
        <f t="shared" si="3"/>
        <v>890</v>
      </c>
      <c r="P103" s="108"/>
      <c r="Q103" s="113"/>
      <c r="S103" s="1"/>
      <c r="T103" s="1"/>
      <c r="U103"/>
      <c r="V103"/>
    </row>
    <row r="104" spans="1:22" x14ac:dyDescent="0.3">
      <c r="A104" s="234">
        <v>1537</v>
      </c>
      <c r="B104" s="150" t="s">
        <v>806</v>
      </c>
      <c r="C104" s="109">
        <v>988</v>
      </c>
      <c r="D104" s="143">
        <v>103</v>
      </c>
      <c r="E104" s="105">
        <v>890</v>
      </c>
      <c r="F104" s="98">
        <v>10</v>
      </c>
      <c r="G104" s="110" t="s">
        <v>811</v>
      </c>
      <c r="H104" s="101">
        <v>46072</v>
      </c>
      <c r="I104" s="68" t="s">
        <v>359</v>
      </c>
      <c r="J104" s="124"/>
      <c r="K104" s="159" t="s">
        <v>637</v>
      </c>
      <c r="L104" s="97">
        <f>_xlfn.IFS(NFSe_NC[[#This Row],[RETER ISS]]="NÃO",0,NFSe_NC[[#This Row],[RETER ISS]]="SIM",NFSe_NC[[#This Row],[VALOR NFS-e]]*5%)</f>
        <v>0</v>
      </c>
      <c r="M104" s="72" t="s">
        <v>637</v>
      </c>
      <c r="N104" s="244" cm="1">
        <f t="array" ref="N104">_xlfn.IFS(NFSe_NC[[#This Row],[RETER INSS]]="NÃO",0,NFSe_NC[[#This Row],[RETER INSS]]="SIM",NFSe_NC[[#This Row],[VALOR NFS-e]]*11%)</f>
        <v>0</v>
      </c>
      <c r="O104" s="220">
        <f t="shared" si="3"/>
        <v>890</v>
      </c>
      <c r="P104" s="108"/>
      <c r="Q104" s="113"/>
      <c r="S104" s="1"/>
      <c r="T104" s="1"/>
      <c r="U104"/>
      <c r="V104"/>
    </row>
    <row r="105" spans="1:22" x14ac:dyDescent="0.3">
      <c r="A105" s="234">
        <v>1539</v>
      </c>
      <c r="B105" s="150" t="s">
        <v>809</v>
      </c>
      <c r="C105" s="109">
        <v>950</v>
      </c>
      <c r="D105" s="143">
        <v>104</v>
      </c>
      <c r="E105" s="105">
        <v>950</v>
      </c>
      <c r="F105" s="98">
        <v>11</v>
      </c>
      <c r="G105" s="110" t="s">
        <v>810</v>
      </c>
      <c r="H105" s="101">
        <v>46072</v>
      </c>
      <c r="I105" s="68" t="s">
        <v>359</v>
      </c>
      <c r="J105" s="124"/>
      <c r="K105" s="159" t="s">
        <v>637</v>
      </c>
      <c r="L105" s="97">
        <f>_xlfn.IFS(NFSe_NC[[#This Row],[RETER ISS]]="NÃO",0,NFSe_NC[[#This Row],[RETER ISS]]="SIM",NFSe_NC[[#This Row],[VALOR NFS-e]]*5%)</f>
        <v>0</v>
      </c>
      <c r="M105" s="72" t="s">
        <v>637</v>
      </c>
      <c r="N105" s="244" cm="1">
        <f t="array" ref="N105">_xlfn.IFS(NFSe_NC[[#This Row],[RETER INSS]]="NÃO",0,NFSe_NC[[#This Row],[RETER INSS]]="SIM",NFSe_NC[[#This Row],[VALOR NFS-e]]*11%)</f>
        <v>0</v>
      </c>
      <c r="O105" s="220">
        <f t="shared" si="3"/>
        <v>950</v>
      </c>
      <c r="P105" s="108"/>
      <c r="Q105" s="113"/>
      <c r="S105" s="1"/>
      <c r="T105" s="1"/>
      <c r="U105"/>
      <c r="V105"/>
    </row>
    <row r="106" spans="1:22" x14ac:dyDescent="0.3">
      <c r="A106" s="234" t="s">
        <v>15</v>
      </c>
      <c r="B106" s="150" t="s">
        <v>607</v>
      </c>
      <c r="C106" s="109">
        <v>6032.44</v>
      </c>
      <c r="D106" s="143">
        <v>105</v>
      </c>
      <c r="E106" s="105">
        <v>6032.44</v>
      </c>
      <c r="F106" s="98">
        <v>12</v>
      </c>
      <c r="G106" s="110" t="s">
        <v>815</v>
      </c>
      <c r="H106" s="101">
        <v>46072</v>
      </c>
      <c r="I106" s="68" t="s">
        <v>359</v>
      </c>
      <c r="J106" s="124" t="s">
        <v>225</v>
      </c>
      <c r="K106" s="159" t="s">
        <v>637</v>
      </c>
      <c r="L106" s="97">
        <f>_xlfn.IFS(NFSe_NC[[#This Row],[RETER ISS]]="NÃO",0,NFSe_NC[[#This Row],[RETER ISS]]="SIM",NFSe_NC[[#This Row],[VALOR NFS-e]]*5%)</f>
        <v>0</v>
      </c>
      <c r="M106" s="72" t="s">
        <v>637</v>
      </c>
      <c r="N106" s="244" cm="1">
        <f t="array" ref="N106">_xlfn.IFS(NFSe_NC[[#This Row],[RETER INSS]]="NÃO",0,NFSe_NC[[#This Row],[RETER INSS]]="SIM",NFSe_NC[[#This Row],[VALOR NFS-e]]*11%)</f>
        <v>0</v>
      </c>
      <c r="O106" s="220">
        <f t="shared" si="3"/>
        <v>6032.44</v>
      </c>
      <c r="P106" s="108"/>
      <c r="Q106" s="113"/>
      <c r="S106" s="1"/>
      <c r="T106" s="1"/>
      <c r="U106"/>
      <c r="V106"/>
    </row>
    <row r="107" spans="1:22" x14ac:dyDescent="0.3">
      <c r="A107" s="234">
        <v>1481</v>
      </c>
      <c r="B107" s="150" t="s">
        <v>528</v>
      </c>
      <c r="C107" s="109">
        <v>2478.6</v>
      </c>
      <c r="D107" s="143">
        <v>106</v>
      </c>
      <c r="E107" s="105">
        <v>890</v>
      </c>
      <c r="F107" s="98">
        <v>13</v>
      </c>
      <c r="G107" s="110" t="s">
        <v>833</v>
      </c>
      <c r="H107" s="101">
        <v>46073</v>
      </c>
      <c r="I107" s="68" t="s">
        <v>359</v>
      </c>
      <c r="J107" s="124"/>
      <c r="K107" s="159" t="s">
        <v>637</v>
      </c>
      <c r="L107" s="97">
        <f>_xlfn.IFS(NFSe_NC[[#This Row],[RETER ISS]]="NÃO",0,NFSe_NC[[#This Row],[RETER ISS]]="SIM",NFSe_NC[[#This Row],[VALOR NFS-e]]*5%)</f>
        <v>0</v>
      </c>
      <c r="M107" s="72" t="s">
        <v>637</v>
      </c>
      <c r="N107" s="244" cm="1">
        <f t="array" ref="N107">_xlfn.IFS(NFSe_NC[[#This Row],[RETER INSS]]="NÃO",0,NFSe_NC[[#This Row],[RETER INSS]]="SIM",NFSe_NC[[#This Row],[VALOR NFS-e]]*11%)</f>
        <v>0</v>
      </c>
      <c r="O107" s="220">
        <f t="shared" si="3"/>
        <v>890</v>
      </c>
      <c r="P107" s="108"/>
      <c r="Q107" s="113"/>
      <c r="S107" s="1"/>
      <c r="T107" s="1"/>
      <c r="U107"/>
      <c r="V107"/>
    </row>
    <row r="108" spans="1:22" x14ac:dyDescent="0.3">
      <c r="A108" s="234">
        <v>637</v>
      </c>
      <c r="B108" s="150" t="s">
        <v>549</v>
      </c>
      <c r="C108" s="109">
        <v>11123</v>
      </c>
      <c r="D108" s="143">
        <v>107</v>
      </c>
      <c r="E108" s="105">
        <v>5080</v>
      </c>
      <c r="F108" s="98">
        <v>14</v>
      </c>
      <c r="G108" s="110" t="s">
        <v>880</v>
      </c>
      <c r="H108" s="101">
        <v>46077</v>
      </c>
      <c r="I108" s="68" t="s">
        <v>359</v>
      </c>
      <c r="J108" s="124" t="s">
        <v>280</v>
      </c>
      <c r="K108" s="159" t="s">
        <v>638</v>
      </c>
      <c r="L108" s="97">
        <f>_xlfn.IFS(NFSe_NC[[#This Row],[RETER ISS]]="NÃO",0,NFSe_NC[[#This Row],[RETER ISS]]="SIM",NFSe_NC[[#This Row],[VALOR NFS-e]]*5%)</f>
        <v>254</v>
      </c>
      <c r="M108" s="72" t="s">
        <v>637</v>
      </c>
      <c r="N108" s="244" cm="1">
        <f t="array" ref="N108">_xlfn.IFS(NFSe_NC[[#This Row],[RETER INSS]]="NÃO",0,NFSe_NC[[#This Row],[RETER INSS]]="SIM",NFSe_NC[[#This Row],[VALOR NFS-e]]*11%)</f>
        <v>0</v>
      </c>
      <c r="O108" s="220">
        <f t="shared" si="3"/>
        <v>4826</v>
      </c>
      <c r="P108" s="108"/>
      <c r="Q108" s="113"/>
      <c r="S108" s="1"/>
      <c r="T108" s="1"/>
      <c r="U108"/>
      <c r="V108"/>
    </row>
    <row r="109" spans="1:22" x14ac:dyDescent="0.3">
      <c r="A109" s="234">
        <v>1544</v>
      </c>
      <c r="B109" s="150" t="s">
        <v>899</v>
      </c>
      <c r="C109" s="109">
        <v>1700</v>
      </c>
      <c r="D109" s="143">
        <v>108</v>
      </c>
      <c r="E109" s="105">
        <v>1700</v>
      </c>
      <c r="F109" s="98">
        <v>15</v>
      </c>
      <c r="G109" s="110" t="s">
        <v>898</v>
      </c>
      <c r="H109" s="101">
        <v>46078</v>
      </c>
      <c r="I109" s="68" t="s">
        <v>359</v>
      </c>
      <c r="J109" s="124"/>
      <c r="K109" s="159" t="s">
        <v>637</v>
      </c>
      <c r="L109" s="97">
        <f>_xlfn.IFS(NFSe_NC[[#This Row],[RETER ISS]]="NÃO",0,NFSe_NC[[#This Row],[RETER ISS]]="SIM",NFSe_NC[[#This Row],[VALOR NFS-e]]*5%)</f>
        <v>0</v>
      </c>
      <c r="M109" s="72" t="s">
        <v>637</v>
      </c>
      <c r="N109" s="244" cm="1">
        <f t="array" ref="N109">_xlfn.IFS(NFSe_NC[[#This Row],[RETER INSS]]="NÃO",0,NFSe_NC[[#This Row],[RETER INSS]]="SIM",NFSe_NC[[#This Row],[VALOR NFS-e]]*11%)</f>
        <v>0</v>
      </c>
      <c r="O109" s="220">
        <f t="shared" si="3"/>
        <v>1700</v>
      </c>
      <c r="P109" s="108"/>
      <c r="Q109" s="113"/>
      <c r="S109" s="1"/>
      <c r="T109" s="1"/>
      <c r="U109"/>
      <c r="V109"/>
    </row>
    <row r="110" spans="1:22" x14ac:dyDescent="0.3">
      <c r="A110" s="234">
        <v>1548</v>
      </c>
      <c r="B110" s="150" t="s">
        <v>900</v>
      </c>
      <c r="C110" s="109">
        <v>1068</v>
      </c>
      <c r="D110" s="143">
        <v>109</v>
      </c>
      <c r="E110" s="105">
        <v>890</v>
      </c>
      <c r="F110" s="98">
        <v>16</v>
      </c>
      <c r="G110" s="110" t="s">
        <v>902</v>
      </c>
      <c r="H110" s="101">
        <v>46078</v>
      </c>
      <c r="I110" s="68" t="s">
        <v>359</v>
      </c>
      <c r="J110" s="124"/>
      <c r="K110" s="172" t="s">
        <v>637</v>
      </c>
      <c r="L110" s="97">
        <f>_xlfn.IFS(NFSe_NC[[#This Row],[RETER ISS]]="NÃO",0,NFSe_NC[[#This Row],[RETER ISS]]="SIM",NFSe_NC[[#This Row],[VALOR NFS-e]]*5%)</f>
        <v>0</v>
      </c>
      <c r="M110" s="72" t="s">
        <v>637</v>
      </c>
      <c r="N110" s="244" cm="1">
        <f t="array" ref="N110">_xlfn.IFS(NFSe_NC[[#This Row],[RETER INSS]]="NÃO",0,NFSe_NC[[#This Row],[RETER INSS]]="SIM",NFSe_NC[[#This Row],[VALOR NFS-e]]*11%)</f>
        <v>0</v>
      </c>
      <c r="O110" s="220">
        <f t="shared" si="3"/>
        <v>890</v>
      </c>
      <c r="P110" s="108"/>
      <c r="Q110" s="113"/>
      <c r="S110" s="1"/>
      <c r="T110" s="1"/>
      <c r="U110"/>
      <c r="V110"/>
    </row>
    <row r="111" spans="1:22" x14ac:dyDescent="0.3">
      <c r="A111" s="234">
        <v>1533</v>
      </c>
      <c r="B111" s="150" t="s">
        <v>904</v>
      </c>
      <c r="C111" s="109">
        <v>8718.84</v>
      </c>
      <c r="D111" s="143">
        <v>110</v>
      </c>
      <c r="E111" s="105">
        <v>890</v>
      </c>
      <c r="F111" s="98">
        <v>17</v>
      </c>
      <c r="G111" s="110" t="s">
        <v>906</v>
      </c>
      <c r="H111" s="101">
        <v>46078</v>
      </c>
      <c r="I111" s="68" t="s">
        <v>359</v>
      </c>
      <c r="J111" s="124"/>
      <c r="K111" s="172" t="s">
        <v>637</v>
      </c>
      <c r="L111" s="97">
        <f>_xlfn.IFS(NFSe_NC[[#This Row],[RETER ISS]]="NÃO",0,NFSe_NC[[#This Row],[RETER ISS]]="SIM",NFSe_NC[[#This Row],[VALOR NFS-e]]*5%)</f>
        <v>0</v>
      </c>
      <c r="M111" s="72" t="s">
        <v>637</v>
      </c>
      <c r="N111" s="244" cm="1">
        <f t="array" ref="N111">_xlfn.IFS(NFSe_NC[[#This Row],[RETER INSS]]="NÃO",0,NFSe_NC[[#This Row],[RETER INSS]]="SIM",NFSe_NC[[#This Row],[VALOR NFS-e]]*11%)</f>
        <v>0</v>
      </c>
      <c r="O111" s="220">
        <f t="shared" si="3"/>
        <v>890</v>
      </c>
      <c r="P111" s="108"/>
      <c r="Q111" s="113"/>
      <c r="S111" s="1"/>
      <c r="T111" s="1"/>
      <c r="U111"/>
      <c r="V111"/>
    </row>
    <row r="112" spans="1:22" x14ac:dyDescent="0.3">
      <c r="A112" s="234">
        <v>1564</v>
      </c>
      <c r="B112" s="150" t="s">
        <v>700</v>
      </c>
      <c r="C112" s="109">
        <v>890</v>
      </c>
      <c r="D112" s="143">
        <v>111</v>
      </c>
      <c r="E112" s="105">
        <v>890</v>
      </c>
      <c r="F112" s="98">
        <v>18</v>
      </c>
      <c r="G112" s="110" t="s">
        <v>915</v>
      </c>
      <c r="H112" s="101">
        <v>46078</v>
      </c>
      <c r="I112" s="68" t="s">
        <v>359</v>
      </c>
      <c r="J112" s="124" t="s">
        <v>280</v>
      </c>
      <c r="K112" s="172" t="s">
        <v>638</v>
      </c>
      <c r="L112" s="97">
        <f>_xlfn.IFS(NFSe_NC[[#This Row],[RETER ISS]]="NÃO",0,NFSe_NC[[#This Row],[RETER ISS]]="SIM",NFSe_NC[[#This Row],[VALOR NFS-e]]*5%)</f>
        <v>44.5</v>
      </c>
      <c r="M112" s="72" t="s">
        <v>637</v>
      </c>
      <c r="N112" s="244" cm="1">
        <f t="array" ref="N112">_xlfn.IFS(NFSe_NC[[#This Row],[RETER INSS]]="NÃO",0,NFSe_NC[[#This Row],[RETER INSS]]="SIM",NFSe_NC[[#This Row],[VALOR NFS-e]]*11%)</f>
        <v>0</v>
      </c>
      <c r="O112" s="220">
        <f t="shared" si="3"/>
        <v>845.5</v>
      </c>
      <c r="P112" s="108"/>
      <c r="Q112" s="113"/>
      <c r="S112" s="1"/>
      <c r="T112" s="1"/>
      <c r="U112"/>
      <c r="V112"/>
    </row>
    <row r="113" spans="1:22" x14ac:dyDescent="0.3">
      <c r="A113" s="234">
        <v>1595</v>
      </c>
      <c r="B113" s="150" t="s">
        <v>943</v>
      </c>
      <c r="C113" s="109">
        <v>1280</v>
      </c>
      <c r="D113" s="143">
        <v>112</v>
      </c>
      <c r="E113" s="105">
        <v>1280</v>
      </c>
      <c r="F113" s="98">
        <v>19</v>
      </c>
      <c r="G113" s="110" t="s">
        <v>944</v>
      </c>
      <c r="H113" s="101">
        <v>46080</v>
      </c>
      <c r="I113" s="68" t="s">
        <v>359</v>
      </c>
      <c r="J113" s="124"/>
      <c r="K113" s="172" t="s">
        <v>637</v>
      </c>
      <c r="L113" s="97">
        <f>_xlfn.IFS(NFSe_NC[[#This Row],[RETER ISS]]="NÃO",0,NFSe_NC[[#This Row],[RETER ISS]]="SIM",NFSe_NC[[#This Row],[VALOR NFS-e]]*5%)</f>
        <v>0</v>
      </c>
      <c r="M113" s="72" t="s">
        <v>637</v>
      </c>
      <c r="N113" s="244" cm="1">
        <f t="array" ref="N113">_xlfn.IFS(NFSe_NC[[#This Row],[RETER INSS]]="NÃO",0,NFSe_NC[[#This Row],[RETER INSS]]="SIM",NFSe_NC[[#This Row],[VALOR NFS-e]]*11%)</f>
        <v>0</v>
      </c>
      <c r="O113" s="220">
        <f t="shared" si="3"/>
        <v>1280</v>
      </c>
      <c r="P113" s="108"/>
      <c r="Q113" s="113"/>
      <c r="S113" s="1"/>
      <c r="T113" s="1"/>
      <c r="U113"/>
      <c r="V113"/>
    </row>
    <row r="114" spans="1:22" x14ac:dyDescent="0.3">
      <c r="A114" s="234">
        <v>1506</v>
      </c>
      <c r="B114" s="150" t="s">
        <v>946</v>
      </c>
      <c r="C114" s="109">
        <v>890</v>
      </c>
      <c r="D114" s="143">
        <v>113</v>
      </c>
      <c r="E114" s="105">
        <v>890</v>
      </c>
      <c r="F114" s="98">
        <v>20</v>
      </c>
      <c r="G114" s="110" t="s">
        <v>947</v>
      </c>
      <c r="H114" s="101">
        <v>46080</v>
      </c>
      <c r="I114" s="68" t="s">
        <v>359</v>
      </c>
      <c r="J114" s="124"/>
      <c r="K114" s="172" t="s">
        <v>637</v>
      </c>
      <c r="L114" s="97">
        <f>_xlfn.IFS(NFSe_NC[[#This Row],[RETER ISS]]="NÃO",0,NFSe_NC[[#This Row],[RETER ISS]]="SIM",NFSe_NC[[#This Row],[VALOR NFS-e]]*5%)</f>
        <v>0</v>
      </c>
      <c r="M114" s="72" t="s">
        <v>637</v>
      </c>
      <c r="N114" s="244" cm="1">
        <f t="array" ref="N114">_xlfn.IFS(NFSe_NC[[#This Row],[RETER INSS]]="NÃO",0,NFSe_NC[[#This Row],[RETER INSS]]="SIM",NFSe_NC[[#This Row],[VALOR NFS-e]]*11%)</f>
        <v>0</v>
      </c>
      <c r="O114" s="220">
        <f t="shared" si="3"/>
        <v>890</v>
      </c>
      <c r="P114" s="108"/>
      <c r="Q114" s="113"/>
      <c r="S114" s="1"/>
      <c r="T114" s="1"/>
      <c r="U114"/>
      <c r="V114"/>
    </row>
    <row r="115" spans="1:22" x14ac:dyDescent="0.3">
      <c r="A115" s="234">
        <v>1588</v>
      </c>
      <c r="B115" s="150" t="s">
        <v>962</v>
      </c>
      <c r="C115" s="109">
        <v>1760</v>
      </c>
      <c r="D115" s="143">
        <v>114</v>
      </c>
      <c r="E115" s="105">
        <v>1760</v>
      </c>
      <c r="F115" s="98">
        <v>21</v>
      </c>
      <c r="G115" s="110" t="s">
        <v>964</v>
      </c>
      <c r="H115" s="101">
        <v>46084</v>
      </c>
      <c r="I115" s="68" t="s">
        <v>359</v>
      </c>
      <c r="J115" s="124"/>
      <c r="K115" s="172" t="s">
        <v>638</v>
      </c>
      <c r="L115" s="97">
        <f>_xlfn.IFS(NFSe_NC[[#This Row],[RETER ISS]]="NÃO",0,NFSe_NC[[#This Row],[RETER ISS]]="SIM",NFSe_NC[[#This Row],[VALOR NFS-e]]*5%)</f>
        <v>88</v>
      </c>
      <c r="M115" s="72" t="s">
        <v>637</v>
      </c>
      <c r="N115" s="244" cm="1">
        <f t="array" ref="N115">_xlfn.IFS(NFSe_NC[[#This Row],[RETER INSS]]="NÃO",0,NFSe_NC[[#This Row],[RETER INSS]]="SIM",NFSe_NC[[#This Row],[VALOR NFS-e]]*11%)</f>
        <v>0</v>
      </c>
      <c r="O115" s="220">
        <f t="shared" si="3"/>
        <v>1672</v>
      </c>
      <c r="P115" s="108"/>
      <c r="Q115" s="113"/>
      <c r="S115" s="1"/>
      <c r="T115" s="1"/>
      <c r="U115"/>
      <c r="V115"/>
    </row>
    <row r="116" spans="1:22" x14ac:dyDescent="0.3">
      <c r="A116" s="234">
        <v>1614</v>
      </c>
      <c r="B116" s="150" t="s">
        <v>973</v>
      </c>
      <c r="C116" s="109">
        <v>3560</v>
      </c>
      <c r="D116" s="143">
        <v>115</v>
      </c>
      <c r="E116" s="105">
        <v>3560</v>
      </c>
      <c r="F116" s="98">
        <v>22</v>
      </c>
      <c r="G116" s="110" t="s">
        <v>974</v>
      </c>
      <c r="H116" s="101">
        <v>46085</v>
      </c>
      <c r="I116" s="68" t="s">
        <v>359</v>
      </c>
      <c r="J116" s="124"/>
      <c r="K116" s="172" t="s">
        <v>637</v>
      </c>
      <c r="L116" s="97">
        <f>_xlfn.IFS(NFSe_NC[[#This Row],[RETER ISS]]="NÃO",0,NFSe_NC[[#This Row],[RETER ISS]]="SIM",NFSe_NC[[#This Row],[VALOR NFS-e]]*5%)</f>
        <v>0</v>
      </c>
      <c r="M116" s="72" t="s">
        <v>637</v>
      </c>
      <c r="N116" s="244" cm="1">
        <f t="array" ref="N116">_xlfn.IFS(NFSe_NC[[#This Row],[RETER INSS]]="NÃO",0,NFSe_NC[[#This Row],[RETER INSS]]="SIM",NFSe_NC[[#This Row],[VALOR NFS-e]]*11%)</f>
        <v>0</v>
      </c>
      <c r="O116" s="220">
        <f t="shared" si="3"/>
        <v>3560</v>
      </c>
      <c r="P116" s="108"/>
      <c r="Q116" s="113"/>
      <c r="S116" s="1"/>
      <c r="T116" s="1"/>
      <c r="U116"/>
      <c r="V116"/>
    </row>
    <row r="117" spans="1:22" x14ac:dyDescent="0.3">
      <c r="A117" s="234">
        <v>1513</v>
      </c>
      <c r="B117" s="150" t="s">
        <v>1039</v>
      </c>
      <c r="C117" s="109">
        <v>14338</v>
      </c>
      <c r="D117" s="143">
        <v>116</v>
      </c>
      <c r="E117" s="105">
        <v>4815</v>
      </c>
      <c r="F117" s="98">
        <v>116</v>
      </c>
      <c r="G117" s="110" t="s">
        <v>1041</v>
      </c>
      <c r="H117" s="101">
        <v>46090</v>
      </c>
      <c r="I117" s="68" t="s">
        <v>57</v>
      </c>
      <c r="J117" s="124" t="s">
        <v>279</v>
      </c>
      <c r="K117" s="172" t="s">
        <v>638</v>
      </c>
      <c r="L117" s="97">
        <f>_xlfn.IFS(NFSe_NC[[#This Row],[RETER ISS]]="NÃO",0,NFSe_NC[[#This Row],[RETER ISS]]="SIM",NFSe_NC[[#This Row],[VALOR NFS-e]]*5%)</f>
        <v>240.75</v>
      </c>
      <c r="M117" s="72" t="s">
        <v>638</v>
      </c>
      <c r="N117" s="244" cm="1">
        <f t="array" ref="N117">_xlfn.IFS(NFSe_NC[[#This Row],[RETER INSS]]="NÃO",0,NFSe_NC[[#This Row],[RETER INSS]]="SIM",NFSe_NC[[#This Row],[VALOR NFS-e]]*11%)</f>
        <v>529.65</v>
      </c>
      <c r="O117" s="220">
        <f t="shared" si="3"/>
        <v>4044.6</v>
      </c>
      <c r="P117" s="108"/>
      <c r="Q117" s="113"/>
      <c r="S117" s="1"/>
      <c r="T117" s="1"/>
      <c r="U117"/>
      <c r="V117"/>
    </row>
    <row r="118" spans="1:22" x14ac:dyDescent="0.3">
      <c r="A118" s="234">
        <v>1615</v>
      </c>
      <c r="B118" s="150" t="s">
        <v>1044</v>
      </c>
      <c r="C118" s="109">
        <v>2410</v>
      </c>
      <c r="D118" s="143">
        <v>117</v>
      </c>
      <c r="E118" s="105">
        <v>2410</v>
      </c>
      <c r="F118" s="98">
        <v>117</v>
      </c>
      <c r="G118" s="110" t="s">
        <v>1045</v>
      </c>
      <c r="H118" s="101">
        <v>46090</v>
      </c>
      <c r="I118" s="68" t="s">
        <v>359</v>
      </c>
      <c r="J118" s="124" t="s">
        <v>280</v>
      </c>
      <c r="K118" s="172" t="s">
        <v>638</v>
      </c>
      <c r="L118" s="97">
        <f>_xlfn.IFS(NFSe_NC[[#This Row],[RETER ISS]]="NÃO",0,NFSe_NC[[#This Row],[RETER ISS]]="SIM",NFSe_NC[[#This Row],[VALOR NFS-e]]*5%)</f>
        <v>120.5</v>
      </c>
      <c r="M118" s="72" t="s">
        <v>637</v>
      </c>
      <c r="N118" s="244" cm="1">
        <f t="array" ref="N118">_xlfn.IFS(NFSe_NC[[#This Row],[RETER INSS]]="NÃO",0,NFSe_NC[[#This Row],[RETER INSS]]="SIM",NFSe_NC[[#This Row],[VALOR NFS-e]]*11%)</f>
        <v>0</v>
      </c>
      <c r="O118" s="220">
        <f t="shared" si="3"/>
        <v>2289.5</v>
      </c>
      <c r="P118" s="108"/>
      <c r="Q118" s="113"/>
      <c r="S118" s="1"/>
      <c r="T118" s="1"/>
      <c r="U118"/>
      <c r="V118"/>
    </row>
    <row r="119" spans="1:22" x14ac:dyDescent="0.3">
      <c r="A119" s="234">
        <v>1513</v>
      </c>
      <c r="B119" s="150" t="s">
        <v>1039</v>
      </c>
      <c r="C119" s="109">
        <v>14338</v>
      </c>
      <c r="D119" s="143">
        <v>118</v>
      </c>
      <c r="E119" s="105">
        <v>4815</v>
      </c>
      <c r="F119" s="98">
        <v>23</v>
      </c>
      <c r="G119" s="110" t="s">
        <v>1046</v>
      </c>
      <c r="H119" s="101">
        <v>46090</v>
      </c>
      <c r="I119" s="68" t="s">
        <v>359</v>
      </c>
      <c r="J119" s="124" t="s">
        <v>279</v>
      </c>
      <c r="K119" s="172" t="s">
        <v>638</v>
      </c>
      <c r="L119" s="97">
        <f>_xlfn.IFS(NFSe_NC[[#This Row],[RETER ISS]]="NÃO",0,NFSe_NC[[#This Row],[RETER ISS]]="SIM",NFSe_NC[[#This Row],[VALOR NFS-e]]*5%)</f>
        <v>240.75</v>
      </c>
      <c r="M119" s="72" t="s">
        <v>638</v>
      </c>
      <c r="N119" s="244" cm="1">
        <f t="array" ref="N119">_xlfn.IFS(NFSe_NC[[#This Row],[RETER INSS]]="NÃO",0,NFSe_NC[[#This Row],[RETER INSS]]="SIM",NFSe_NC[[#This Row],[VALOR NFS-e]]*11%)</f>
        <v>529.65</v>
      </c>
      <c r="O119" s="220">
        <f t="shared" si="3"/>
        <v>4044.6</v>
      </c>
      <c r="P119" s="108"/>
      <c r="Q119" s="113"/>
      <c r="S119" s="1"/>
      <c r="T119" s="1"/>
      <c r="U119"/>
      <c r="V119"/>
    </row>
    <row r="120" spans="1:22" x14ac:dyDescent="0.3">
      <c r="A120" s="234" t="s">
        <v>15</v>
      </c>
      <c r="B120" s="150" t="s">
        <v>607</v>
      </c>
      <c r="C120" s="109">
        <v>3658.96</v>
      </c>
      <c r="D120" s="143">
        <v>119</v>
      </c>
      <c r="E120" s="105">
        <v>3658.96</v>
      </c>
      <c r="F120" s="98">
        <v>119</v>
      </c>
      <c r="G120" s="110" t="s">
        <v>1060</v>
      </c>
      <c r="H120" s="101">
        <v>46092</v>
      </c>
      <c r="I120" s="68" t="s">
        <v>359</v>
      </c>
      <c r="J120" s="124" t="s">
        <v>225</v>
      </c>
      <c r="K120" s="172" t="s">
        <v>637</v>
      </c>
      <c r="L120" s="100">
        <f>_xlfn.IFS(NFSe_NC[[#This Row],[RETER ISS]]="NÃO",0,NFSe_NC[[#This Row],[RETER ISS]]="SIM",NFSe_NC[[#This Row],[VALOR NFS-e]]*5%)</f>
        <v>0</v>
      </c>
      <c r="M120" s="72" t="s">
        <v>637</v>
      </c>
      <c r="N120" s="105" cm="1">
        <f t="array" ref="N120">_xlfn.IFS(NFSe_NC[[#This Row],[RETER INSS]]="NÃO",0,NFSe_NC[[#This Row],[RETER INSS]]="SIM",NFSe_NC[[#This Row],[VALOR NFS-e]]*11%)</f>
        <v>0</v>
      </c>
      <c r="O120" s="220">
        <f t="shared" si="3"/>
        <v>3658.96</v>
      </c>
      <c r="P120" s="108"/>
      <c r="Q120" s="113"/>
      <c r="S120" s="1"/>
      <c r="T120" s="1"/>
      <c r="U120"/>
      <c r="V120"/>
    </row>
    <row r="121" spans="1:22" x14ac:dyDescent="0.3">
      <c r="A121" s="234">
        <v>1526</v>
      </c>
      <c r="B121" s="150" t="s">
        <v>715</v>
      </c>
      <c r="C121" s="109">
        <v>5285.7</v>
      </c>
      <c r="D121" s="143">
        <v>120</v>
      </c>
      <c r="E121" s="105">
        <v>950</v>
      </c>
      <c r="F121" s="98">
        <v>24</v>
      </c>
      <c r="G121" s="110" t="s">
        <v>1072</v>
      </c>
      <c r="H121" s="101">
        <v>46094</v>
      </c>
      <c r="I121" s="68" t="s">
        <v>359</v>
      </c>
      <c r="J121" s="124"/>
      <c r="K121" s="172" t="s">
        <v>637</v>
      </c>
      <c r="L121" s="256">
        <f>_xlfn.IFS(NFSe_NC[[#This Row],[RETER ISS]]="NÃO",0,NFSe_NC[[#This Row],[RETER ISS]]="SIM",NFSe_NC[[#This Row],[VALOR NFS-e]]*5%)</f>
        <v>0</v>
      </c>
      <c r="M121" s="255" t="s">
        <v>637</v>
      </c>
      <c r="N121" s="105" cm="1">
        <f t="array" ref="N121">_xlfn.IFS(NFSe_NC[[#This Row],[RETER INSS]]="NÃO",0,NFSe_NC[[#This Row],[RETER INSS]]="SIM",NFSe_NC[[#This Row],[VALOR NFS-e]]*11%)</f>
        <v>0</v>
      </c>
      <c r="O121" s="109">
        <f t="shared" si="3"/>
        <v>950</v>
      </c>
      <c r="P121" s="108"/>
      <c r="Q121" s="113"/>
      <c r="S121" s="1"/>
      <c r="T121" s="1"/>
      <c r="U121"/>
      <c r="V121"/>
    </row>
    <row r="122" spans="1:22" x14ac:dyDescent="0.3">
      <c r="A122" s="234">
        <v>1645</v>
      </c>
      <c r="B122" s="150" t="s">
        <v>1077</v>
      </c>
      <c r="C122" s="109">
        <v>590</v>
      </c>
      <c r="D122" s="143">
        <v>121</v>
      </c>
      <c r="E122" s="105">
        <v>590</v>
      </c>
      <c r="F122" s="98">
        <v>121</v>
      </c>
      <c r="G122" s="110" t="s">
        <v>1078</v>
      </c>
      <c r="H122" s="101">
        <v>46097</v>
      </c>
      <c r="I122" s="68" t="s">
        <v>359</v>
      </c>
      <c r="J122" s="124"/>
      <c r="K122" s="172" t="s">
        <v>637</v>
      </c>
      <c r="L122" s="256">
        <f>_xlfn.IFS(NFSe_NC[[#This Row],[RETER ISS]]="NÃO",0,NFSe_NC[[#This Row],[RETER ISS]]="SIM",NFSe_NC[[#This Row],[VALOR NFS-e]]*5%)</f>
        <v>0</v>
      </c>
      <c r="M122" s="255" t="s">
        <v>637</v>
      </c>
      <c r="N122" s="105" cm="1">
        <f t="array" ref="N122">_xlfn.IFS(NFSe_NC[[#This Row],[RETER INSS]]="NÃO",0,NFSe_NC[[#This Row],[RETER INSS]]="SIM",NFSe_NC[[#This Row],[VALOR NFS-e]]*11%)</f>
        <v>0</v>
      </c>
      <c r="O122" s="109">
        <f t="shared" si="3"/>
        <v>590</v>
      </c>
      <c r="P122" s="108"/>
      <c r="Q122" s="113"/>
      <c r="S122" s="1"/>
      <c r="T122" s="1"/>
      <c r="U122"/>
      <c r="V122"/>
    </row>
    <row r="123" spans="1:22" x14ac:dyDescent="0.3">
      <c r="A123" s="234">
        <v>1490</v>
      </c>
      <c r="B123" s="150" t="s">
        <v>1076</v>
      </c>
      <c r="C123" s="109">
        <v>5383</v>
      </c>
      <c r="D123" s="143">
        <v>122</v>
      </c>
      <c r="E123" s="105">
        <v>4010</v>
      </c>
      <c r="F123" s="98">
        <v>122</v>
      </c>
      <c r="G123" s="110" t="s">
        <v>1082</v>
      </c>
      <c r="H123" s="101">
        <v>46097</v>
      </c>
      <c r="I123" s="68" t="s">
        <v>359</v>
      </c>
      <c r="J123" s="124"/>
      <c r="K123" s="172" t="s">
        <v>637</v>
      </c>
      <c r="L123" s="256">
        <f>_xlfn.IFS(NFSe_NC[[#This Row],[RETER ISS]]="NÃO",0,NFSe_NC[[#This Row],[RETER ISS]]="SIM",NFSe_NC[[#This Row],[VALOR NFS-e]]*5%)</f>
        <v>0</v>
      </c>
      <c r="M123" s="255" t="s">
        <v>637</v>
      </c>
      <c r="N123" s="105" cm="1">
        <f t="array" ref="N123">_xlfn.IFS(NFSe_NC[[#This Row],[RETER INSS]]="NÃO",0,NFSe_NC[[#This Row],[RETER INSS]]="SIM",NFSe_NC[[#This Row],[VALOR NFS-e]]*11%)</f>
        <v>0</v>
      </c>
      <c r="O123" s="109">
        <f t="shared" si="3"/>
        <v>4010</v>
      </c>
      <c r="P123" s="108"/>
      <c r="Q123" s="113"/>
      <c r="S123" s="1"/>
      <c r="T123" s="1"/>
      <c r="U123"/>
      <c r="V123"/>
    </row>
    <row r="124" spans="1:22" x14ac:dyDescent="0.3">
      <c r="A124" s="234">
        <v>1646</v>
      </c>
      <c r="B124" s="150" t="s">
        <v>1085</v>
      </c>
      <c r="C124" s="109">
        <v>890</v>
      </c>
      <c r="D124" s="143">
        <v>123</v>
      </c>
      <c r="E124" s="105">
        <v>890</v>
      </c>
      <c r="F124" s="98">
        <v>123</v>
      </c>
      <c r="G124" s="110" t="s">
        <v>1086</v>
      </c>
      <c r="H124" s="101">
        <v>46097</v>
      </c>
      <c r="I124" s="68" t="s">
        <v>359</v>
      </c>
      <c r="J124" s="124"/>
      <c r="K124" s="172" t="s">
        <v>637</v>
      </c>
      <c r="L124" s="256">
        <f>_xlfn.IFS(NFSe_NC[[#This Row],[RETER ISS]]="NÃO",0,NFSe_NC[[#This Row],[RETER ISS]]="SIM",NFSe_NC[[#This Row],[VALOR NFS-e]]*5%)</f>
        <v>0</v>
      </c>
      <c r="M124" s="255" t="s">
        <v>637</v>
      </c>
      <c r="N124" s="105" cm="1">
        <f t="array" ref="N124">_xlfn.IFS(NFSe_NC[[#This Row],[RETER INSS]]="NÃO",0,NFSe_NC[[#This Row],[RETER INSS]]="SIM",NFSe_NC[[#This Row],[VALOR NFS-e]]*11%)</f>
        <v>0</v>
      </c>
      <c r="O124" s="109">
        <f t="shared" si="3"/>
        <v>890</v>
      </c>
      <c r="P124" s="108"/>
      <c r="Q124" s="113"/>
      <c r="S124" s="1"/>
      <c r="T124" s="1"/>
      <c r="U124"/>
      <c r="V124"/>
    </row>
    <row r="125" spans="1:22" x14ac:dyDescent="0.3">
      <c r="A125" s="234">
        <v>1518</v>
      </c>
      <c r="B125" s="150" t="s">
        <v>1101</v>
      </c>
      <c r="C125" s="109">
        <v>890</v>
      </c>
      <c r="D125" s="143">
        <v>124</v>
      </c>
      <c r="E125" s="105">
        <v>890</v>
      </c>
      <c r="F125" s="98">
        <v>124</v>
      </c>
      <c r="G125" s="110" t="s">
        <v>1102</v>
      </c>
      <c r="H125" s="101">
        <v>46098</v>
      </c>
      <c r="I125" s="68" t="s">
        <v>359</v>
      </c>
      <c r="J125" s="124"/>
      <c r="K125" s="172" t="s">
        <v>637</v>
      </c>
      <c r="L125" s="256">
        <f>_xlfn.IFS(NFSe_NC[[#This Row],[RETER ISS]]="NÃO",0,NFSe_NC[[#This Row],[RETER ISS]]="SIM",NFSe_NC[[#This Row],[VALOR NFS-e]]*5%)</f>
        <v>0</v>
      </c>
      <c r="M125" s="255" t="s">
        <v>637</v>
      </c>
      <c r="N125" s="105" cm="1">
        <f t="array" ref="N125">_xlfn.IFS(NFSe_NC[[#This Row],[RETER INSS]]="NÃO",0,NFSe_NC[[#This Row],[RETER INSS]]="SIM",NFSe_NC[[#This Row],[VALOR NFS-e]]*11%)</f>
        <v>0</v>
      </c>
      <c r="O125" s="109">
        <f t="shared" si="3"/>
        <v>890</v>
      </c>
      <c r="P125" s="108"/>
      <c r="Q125" s="113"/>
      <c r="S125" s="1"/>
      <c r="T125" s="1"/>
      <c r="U125"/>
      <c r="V125"/>
    </row>
    <row r="126" spans="1:22" x14ac:dyDescent="0.3">
      <c r="A126" s="234">
        <v>1555</v>
      </c>
      <c r="B126" s="150" t="s">
        <v>1122</v>
      </c>
      <c r="C126" s="109">
        <v>5669.99</v>
      </c>
      <c r="D126" s="143">
        <v>125</v>
      </c>
      <c r="E126" s="105">
        <v>1760</v>
      </c>
      <c r="F126" s="98">
        <v>125</v>
      </c>
      <c r="G126" s="110" t="s">
        <v>1124</v>
      </c>
      <c r="H126" s="101">
        <v>46099</v>
      </c>
      <c r="I126" s="68" t="s">
        <v>359</v>
      </c>
      <c r="J126" s="124"/>
      <c r="K126" s="172" t="s">
        <v>638</v>
      </c>
      <c r="L126" s="256">
        <f>_xlfn.IFS(NFSe_NC[[#This Row],[RETER ISS]]="NÃO",0,NFSe_NC[[#This Row],[RETER ISS]]="SIM",NFSe_NC[[#This Row],[VALOR NFS-e]]*5%)</f>
        <v>88</v>
      </c>
      <c r="M126" s="255" t="s">
        <v>637</v>
      </c>
      <c r="N126" s="105" cm="1">
        <f t="array" ref="N126">_xlfn.IFS(NFSe_NC[[#This Row],[RETER INSS]]="NÃO",0,NFSe_NC[[#This Row],[RETER INSS]]="SIM",NFSe_NC[[#This Row],[VALOR NFS-e]]*11%)</f>
        <v>0</v>
      </c>
      <c r="O126" s="109">
        <f t="shared" si="3"/>
        <v>1672</v>
      </c>
      <c r="P126" s="108"/>
      <c r="Q126" s="113"/>
      <c r="S126" s="1"/>
      <c r="T126" s="1"/>
      <c r="U126"/>
      <c r="V126"/>
    </row>
    <row r="127" spans="1:22" x14ac:dyDescent="0.3">
      <c r="A127" s="234">
        <v>1667</v>
      </c>
      <c r="B127" s="150" t="s">
        <v>1125</v>
      </c>
      <c r="C127" s="109">
        <v>890</v>
      </c>
      <c r="D127" s="143">
        <v>126</v>
      </c>
      <c r="E127" s="105">
        <v>890</v>
      </c>
      <c r="F127" s="98">
        <v>126</v>
      </c>
      <c r="G127" s="110" t="s">
        <v>1126</v>
      </c>
      <c r="H127" s="101">
        <v>46099</v>
      </c>
      <c r="I127" s="68" t="s">
        <v>359</v>
      </c>
      <c r="J127" s="124"/>
      <c r="K127" s="172" t="s">
        <v>637</v>
      </c>
      <c r="L127" s="256">
        <f>_xlfn.IFS(NFSe_NC[[#This Row],[RETER ISS]]="NÃO",0,NFSe_NC[[#This Row],[RETER ISS]]="SIM",NFSe_NC[[#This Row],[VALOR NFS-e]]*5%)</f>
        <v>0</v>
      </c>
      <c r="M127" s="255" t="s">
        <v>637</v>
      </c>
      <c r="N127" s="105" cm="1">
        <f t="array" ref="N127">_xlfn.IFS(NFSe_NC[[#This Row],[RETER INSS]]="NÃO",0,NFSe_NC[[#This Row],[RETER INSS]]="SIM",NFSe_NC[[#This Row],[VALOR NFS-e]]*11%)</f>
        <v>0</v>
      </c>
      <c r="O127" s="109">
        <f t="shared" si="3"/>
        <v>890</v>
      </c>
      <c r="P127" s="108"/>
      <c r="Q127" s="113"/>
      <c r="S127" s="1"/>
      <c r="T127" s="1"/>
      <c r="U127"/>
      <c r="V127"/>
    </row>
    <row r="128" spans="1:22" x14ac:dyDescent="0.3">
      <c r="A128" s="234">
        <v>1635</v>
      </c>
      <c r="B128" s="150" t="s">
        <v>1142</v>
      </c>
      <c r="C128" s="109">
        <v>890</v>
      </c>
      <c r="D128" s="143">
        <v>127</v>
      </c>
      <c r="E128" s="105">
        <v>890</v>
      </c>
      <c r="F128" s="98">
        <v>127</v>
      </c>
      <c r="G128" s="110" t="s">
        <v>1144</v>
      </c>
      <c r="H128" s="101">
        <v>46099</v>
      </c>
      <c r="I128" s="68" t="s">
        <v>359</v>
      </c>
      <c r="J128" s="124"/>
      <c r="K128" s="172" t="s">
        <v>637</v>
      </c>
      <c r="L128" s="256">
        <f>_xlfn.IFS(NFSe_NC[[#This Row],[RETER ISS]]="NÃO",0,NFSe_NC[[#This Row],[RETER ISS]]="SIM",NFSe_NC[[#This Row],[VALOR NFS-e]]*5%)</f>
        <v>0</v>
      </c>
      <c r="M128" s="255" t="s">
        <v>637</v>
      </c>
      <c r="N128" s="105" cm="1">
        <f t="array" ref="N128">_xlfn.IFS(NFSe_NC[[#This Row],[RETER INSS]]="NÃO",0,NFSe_NC[[#This Row],[RETER INSS]]="SIM",NFSe_NC[[#This Row],[VALOR NFS-e]]*11%)</f>
        <v>0</v>
      </c>
      <c r="O128" s="109">
        <f t="shared" si="3"/>
        <v>890</v>
      </c>
      <c r="P128" s="108"/>
      <c r="Q128" s="113"/>
      <c r="S128" s="1"/>
      <c r="T128" s="1"/>
      <c r="U128"/>
      <c r="V128"/>
    </row>
    <row r="129" spans="1:22" x14ac:dyDescent="0.3">
      <c r="A129" s="234">
        <v>1676</v>
      </c>
      <c r="B129" s="150" t="s">
        <v>572</v>
      </c>
      <c r="C129" s="109">
        <v>890</v>
      </c>
      <c r="D129" s="143">
        <v>128</v>
      </c>
      <c r="E129" s="105">
        <v>890</v>
      </c>
      <c r="F129" s="98">
        <v>128</v>
      </c>
      <c r="G129" s="110" t="s">
        <v>1161</v>
      </c>
      <c r="H129" s="101">
        <v>46101</v>
      </c>
      <c r="I129" s="68" t="s">
        <v>359</v>
      </c>
      <c r="J129" s="124"/>
      <c r="K129" s="172" t="s">
        <v>637</v>
      </c>
      <c r="L129" s="256">
        <f>_xlfn.IFS(NFSe_NC[[#This Row],[RETER ISS]]="NÃO",0,NFSe_NC[[#This Row],[RETER ISS]]="SIM",NFSe_NC[[#This Row],[VALOR NFS-e]]*5%)</f>
        <v>0</v>
      </c>
      <c r="M129" s="255" t="s">
        <v>637</v>
      </c>
      <c r="N129" s="105" cm="1">
        <f t="array" ref="N129">_xlfn.IFS(NFSe_NC[[#This Row],[RETER INSS]]="NÃO",0,NFSe_NC[[#This Row],[RETER INSS]]="SIM",NFSe_NC[[#This Row],[VALOR NFS-e]]*11%)</f>
        <v>0</v>
      </c>
      <c r="O129" s="109">
        <f t="shared" si="3"/>
        <v>890</v>
      </c>
      <c r="P129" s="108"/>
      <c r="Q129" s="113"/>
      <c r="S129" s="1"/>
      <c r="T129" s="1"/>
      <c r="U129"/>
      <c r="V129"/>
    </row>
    <row r="130" spans="1:22" x14ac:dyDescent="0.3">
      <c r="A130" s="234">
        <v>1678</v>
      </c>
      <c r="B130" s="150" t="s">
        <v>421</v>
      </c>
      <c r="C130" s="109">
        <v>890</v>
      </c>
      <c r="D130" s="143">
        <v>129</v>
      </c>
      <c r="E130" s="105">
        <v>890</v>
      </c>
      <c r="F130" s="98">
        <v>129</v>
      </c>
      <c r="G130" s="110" t="s">
        <v>1166</v>
      </c>
      <c r="H130" s="101">
        <v>46101</v>
      </c>
      <c r="I130" s="68" t="s">
        <v>359</v>
      </c>
      <c r="J130" s="124"/>
      <c r="K130" s="172" t="s">
        <v>637</v>
      </c>
      <c r="L130" s="256">
        <f>_xlfn.IFS(NFSe_NC[[#This Row],[RETER ISS]]="NÃO",0,NFSe_NC[[#This Row],[RETER ISS]]="SIM",NFSe_NC[[#This Row],[VALOR NFS-e]]*5%)</f>
        <v>0</v>
      </c>
      <c r="M130" s="255" t="s">
        <v>637</v>
      </c>
      <c r="N130" s="105" cm="1">
        <f t="array" ref="N130">_xlfn.IFS(NFSe_NC[[#This Row],[RETER INSS]]="NÃO",0,NFSe_NC[[#This Row],[RETER INSS]]="SIM",NFSe_NC[[#This Row],[VALOR NFS-e]]*11%)</f>
        <v>0</v>
      </c>
      <c r="O130" s="109">
        <f t="shared" ref="O130:O158" si="4">E130-L130-N130</f>
        <v>890</v>
      </c>
      <c r="P130" s="108"/>
      <c r="Q130" s="113"/>
      <c r="S130" s="1"/>
      <c r="T130" s="1"/>
      <c r="U130"/>
      <c r="V130"/>
    </row>
    <row r="131" spans="1:22" x14ac:dyDescent="0.3">
      <c r="A131" s="234">
        <v>1628</v>
      </c>
      <c r="B131" s="150" t="s">
        <v>1169</v>
      </c>
      <c r="C131" s="109">
        <v>1608</v>
      </c>
      <c r="D131" s="143">
        <v>130</v>
      </c>
      <c r="E131" s="105">
        <v>1608</v>
      </c>
      <c r="F131" s="98">
        <v>130</v>
      </c>
      <c r="G131" s="110" t="s">
        <v>1170</v>
      </c>
      <c r="H131" s="101">
        <v>46101</v>
      </c>
      <c r="I131" s="68" t="s">
        <v>359</v>
      </c>
      <c r="J131" s="124"/>
      <c r="K131" s="172" t="s">
        <v>638</v>
      </c>
      <c r="L131" s="256">
        <f>_xlfn.IFS(NFSe_NC[[#This Row],[RETER ISS]]="NÃO",0,NFSe_NC[[#This Row],[RETER ISS]]="SIM",NFSe_NC[[#This Row],[VALOR NFS-e]]*5%)</f>
        <v>80.400000000000006</v>
      </c>
      <c r="M131" s="255" t="s">
        <v>637</v>
      </c>
      <c r="N131" s="105" cm="1">
        <f t="array" ref="N131">_xlfn.IFS(NFSe_NC[[#This Row],[RETER INSS]]="NÃO",0,NFSe_NC[[#This Row],[RETER INSS]]="SIM",NFSe_NC[[#This Row],[VALOR NFS-e]]*11%)</f>
        <v>0</v>
      </c>
      <c r="O131" s="109">
        <f t="shared" si="4"/>
        <v>1527.6</v>
      </c>
      <c r="P131" s="108"/>
      <c r="Q131" s="113"/>
      <c r="S131" s="1"/>
      <c r="T131" s="1"/>
      <c r="U131"/>
      <c r="V131"/>
    </row>
    <row r="132" spans="1:22" x14ac:dyDescent="0.3">
      <c r="A132" s="234">
        <v>1528</v>
      </c>
      <c r="B132" s="150" t="s">
        <v>715</v>
      </c>
      <c r="C132" s="109">
        <v>12621.2</v>
      </c>
      <c r="D132" s="143">
        <v>131</v>
      </c>
      <c r="E132" s="105">
        <v>950</v>
      </c>
      <c r="F132" s="98">
        <v>131</v>
      </c>
      <c r="G132" s="110" t="s">
        <v>1171</v>
      </c>
      <c r="H132" s="101">
        <v>46101</v>
      </c>
      <c r="I132" s="68" t="s">
        <v>359</v>
      </c>
      <c r="J132" s="124"/>
      <c r="K132" s="172" t="s">
        <v>637</v>
      </c>
      <c r="L132" s="256">
        <f>_xlfn.IFS(NFSe_NC[[#This Row],[RETER ISS]]="NÃO",0,NFSe_NC[[#This Row],[RETER ISS]]="SIM",NFSe_NC[[#This Row],[VALOR NFS-e]]*5%)</f>
        <v>0</v>
      </c>
      <c r="M132" s="255" t="s">
        <v>637</v>
      </c>
      <c r="N132" s="105" cm="1">
        <f t="array" ref="N132">_xlfn.IFS(NFSe_NC[[#This Row],[RETER INSS]]="NÃO",0,NFSe_NC[[#This Row],[RETER INSS]]="SIM",NFSe_NC[[#This Row],[VALOR NFS-e]]*11%)</f>
        <v>0</v>
      </c>
      <c r="O132" s="109">
        <f t="shared" si="4"/>
        <v>950</v>
      </c>
      <c r="P132" s="108"/>
      <c r="Q132" s="113"/>
      <c r="S132" s="1"/>
      <c r="T132" s="1"/>
      <c r="U132"/>
      <c r="V132"/>
    </row>
    <row r="133" spans="1:22" x14ac:dyDescent="0.3">
      <c r="A133" s="234">
        <v>1686</v>
      </c>
      <c r="B133" s="150" t="s">
        <v>1173</v>
      </c>
      <c r="C133" s="109">
        <v>890</v>
      </c>
      <c r="D133" s="143">
        <v>132</v>
      </c>
      <c r="E133" s="105">
        <v>890</v>
      </c>
      <c r="F133" s="98">
        <v>132</v>
      </c>
      <c r="G133" s="110" t="s">
        <v>1174</v>
      </c>
      <c r="H133" s="101">
        <v>46101</v>
      </c>
      <c r="I133" s="68" t="s">
        <v>359</v>
      </c>
      <c r="J133" s="124"/>
      <c r="K133" s="172" t="s">
        <v>637</v>
      </c>
      <c r="L133" s="256">
        <f>_xlfn.IFS(NFSe_NC[[#This Row],[RETER ISS]]="NÃO",0,NFSe_NC[[#This Row],[RETER ISS]]="SIM",NFSe_NC[[#This Row],[VALOR NFS-e]]*5%)</f>
        <v>0</v>
      </c>
      <c r="M133" s="255" t="s">
        <v>637</v>
      </c>
      <c r="N133" s="105" cm="1">
        <f t="array" ref="N133">_xlfn.IFS(NFSe_NC[[#This Row],[RETER INSS]]="NÃO",0,NFSe_NC[[#This Row],[RETER INSS]]="SIM",NFSe_NC[[#This Row],[VALOR NFS-e]]*11%)</f>
        <v>0</v>
      </c>
      <c r="O133" s="109">
        <f t="shared" si="4"/>
        <v>890</v>
      </c>
      <c r="P133" s="108"/>
      <c r="Q133" s="113"/>
      <c r="S133" s="1"/>
      <c r="T133" s="1"/>
      <c r="U133"/>
      <c r="V133"/>
    </row>
    <row r="134" spans="1:22" x14ac:dyDescent="0.3">
      <c r="A134" s="234">
        <v>1689</v>
      </c>
      <c r="B134" s="150" t="s">
        <v>473</v>
      </c>
      <c r="C134" s="109">
        <v>890</v>
      </c>
      <c r="D134" s="143">
        <v>133</v>
      </c>
      <c r="E134" s="105">
        <v>890</v>
      </c>
      <c r="F134" s="98">
        <v>133</v>
      </c>
      <c r="G134" s="110" t="s">
        <v>1179</v>
      </c>
      <c r="H134" s="101">
        <v>46104</v>
      </c>
      <c r="I134" s="68" t="s">
        <v>359</v>
      </c>
      <c r="J134" s="124"/>
      <c r="K134" s="172" t="s">
        <v>638</v>
      </c>
      <c r="L134" s="256">
        <f>_xlfn.IFS(NFSe_NC[[#This Row],[RETER ISS]]="NÃO",0,NFSe_NC[[#This Row],[RETER ISS]]="SIM",NFSe_NC[[#This Row],[VALOR NFS-e]]*5%)</f>
        <v>44.5</v>
      </c>
      <c r="M134" s="255" t="s">
        <v>637</v>
      </c>
      <c r="N134" s="105" cm="1">
        <f t="array" ref="N134">_xlfn.IFS(NFSe_NC[[#This Row],[RETER INSS]]="NÃO",0,NFSe_NC[[#This Row],[RETER INSS]]="SIM",NFSe_NC[[#This Row],[VALOR NFS-e]]*11%)</f>
        <v>0</v>
      </c>
      <c r="O134" s="109">
        <f t="shared" si="4"/>
        <v>845.5</v>
      </c>
      <c r="P134" s="108"/>
      <c r="Q134" s="113"/>
      <c r="S134" s="1"/>
      <c r="T134" s="1"/>
      <c r="U134"/>
      <c r="V134"/>
    </row>
    <row r="135" spans="1:22" x14ac:dyDescent="0.3">
      <c r="A135" s="234">
        <v>1694</v>
      </c>
      <c r="B135" s="150" t="s">
        <v>473</v>
      </c>
      <c r="C135" s="109">
        <v>2805.6</v>
      </c>
      <c r="D135" s="142">
        <v>134</v>
      </c>
      <c r="E135" s="104">
        <v>890</v>
      </c>
      <c r="F135" s="98">
        <v>135</v>
      </c>
      <c r="G135" s="110" t="s">
        <v>1195</v>
      </c>
      <c r="H135" s="101">
        <v>46106</v>
      </c>
      <c r="I135" s="68" t="s">
        <v>359</v>
      </c>
      <c r="J135" s="124"/>
      <c r="K135" s="172" t="s">
        <v>638</v>
      </c>
      <c r="L135" s="256">
        <f>_xlfn.IFS(NFSe_NC[[#This Row],[RETER ISS]]="NÃO",0,NFSe_NC[[#This Row],[RETER ISS]]="SIM",NFSe_NC[[#This Row],[VALOR NFS-e]]*5%)</f>
        <v>44.5</v>
      </c>
      <c r="M135" s="255" t="s">
        <v>637</v>
      </c>
      <c r="N135" s="105" cm="1">
        <f t="array" ref="N135">_xlfn.IFS(NFSe_NC[[#This Row],[RETER INSS]]="NÃO",0,NFSe_NC[[#This Row],[RETER INSS]]="SIM",NFSe_NC[[#This Row],[VALOR NFS-e]]*11%)</f>
        <v>0</v>
      </c>
      <c r="O135" s="109">
        <f t="shared" si="4"/>
        <v>845.5</v>
      </c>
      <c r="P135" s="108"/>
      <c r="Q135" s="113"/>
      <c r="S135" s="1"/>
      <c r="T135" s="1"/>
      <c r="U135"/>
      <c r="V135"/>
    </row>
    <row r="136" spans="1:22" x14ac:dyDescent="0.3">
      <c r="A136" s="234">
        <v>1719</v>
      </c>
      <c r="B136" s="150" t="s">
        <v>1322</v>
      </c>
      <c r="C136" s="109">
        <v>530</v>
      </c>
      <c r="D136" s="143">
        <v>135</v>
      </c>
      <c r="E136" s="105">
        <v>530</v>
      </c>
      <c r="F136" s="98">
        <v>136</v>
      </c>
      <c r="G136" s="110" t="s">
        <v>1321</v>
      </c>
      <c r="H136" s="101">
        <v>46111</v>
      </c>
      <c r="I136" s="68" t="s">
        <v>359</v>
      </c>
      <c r="J136" s="124"/>
      <c r="K136" s="172" t="s">
        <v>637</v>
      </c>
      <c r="L136" s="256">
        <f>_xlfn.IFS(NFSe_NC[[#This Row],[RETER ISS]]="NÃO",0,NFSe_NC[[#This Row],[RETER ISS]]="SIM",NFSe_NC[[#This Row],[VALOR NFS-e]]*5%)</f>
        <v>0</v>
      </c>
      <c r="M136" s="255" t="s">
        <v>637</v>
      </c>
      <c r="N136" s="105" cm="1">
        <f t="array" ref="N136">_xlfn.IFS(NFSe_NC[[#This Row],[RETER INSS]]="NÃO",0,NFSe_NC[[#This Row],[RETER INSS]]="SIM",NFSe_NC[[#This Row],[VALOR NFS-e]]*11%)</f>
        <v>0</v>
      </c>
      <c r="O136" s="109">
        <f t="shared" si="4"/>
        <v>530</v>
      </c>
      <c r="P136" s="108"/>
      <c r="Q136" s="113"/>
      <c r="S136" s="1"/>
      <c r="T136" s="1"/>
      <c r="U136"/>
      <c r="V136"/>
    </row>
    <row r="137" spans="1:22" x14ac:dyDescent="0.3">
      <c r="A137" s="234">
        <v>1688</v>
      </c>
      <c r="B137" s="150" t="s">
        <v>538</v>
      </c>
      <c r="C137" s="109">
        <v>2354</v>
      </c>
      <c r="D137" s="143">
        <v>136</v>
      </c>
      <c r="E137" s="105">
        <v>2354</v>
      </c>
      <c r="F137" s="98">
        <v>137</v>
      </c>
      <c r="G137" s="110" t="s">
        <v>1323</v>
      </c>
      <c r="H137" s="101">
        <v>46111</v>
      </c>
      <c r="I137" s="68" t="s">
        <v>359</v>
      </c>
      <c r="J137" s="124"/>
      <c r="K137" s="172" t="s">
        <v>638</v>
      </c>
      <c r="L137" s="256">
        <f>_xlfn.IFS(NFSe_NC[[#This Row],[RETER ISS]]="NÃO",0,NFSe_NC[[#This Row],[RETER ISS]]="SIM",NFSe_NC[[#This Row],[VALOR NFS-e]]*5%)</f>
        <v>117.7</v>
      </c>
      <c r="M137" s="255" t="s">
        <v>637</v>
      </c>
      <c r="N137" s="105" cm="1">
        <f t="array" ref="N137">_xlfn.IFS(NFSe_NC[[#This Row],[RETER INSS]]="NÃO",0,NFSe_NC[[#This Row],[RETER INSS]]="SIM",NFSe_NC[[#This Row],[VALOR NFS-e]]*11%)</f>
        <v>0</v>
      </c>
      <c r="O137" s="109">
        <f t="shared" si="4"/>
        <v>2236.3000000000002</v>
      </c>
      <c r="P137" s="108"/>
      <c r="Q137" s="113"/>
      <c r="S137" s="1"/>
      <c r="T137" s="1"/>
      <c r="U137"/>
      <c r="V137"/>
    </row>
    <row r="138" spans="1:22" x14ac:dyDescent="0.3">
      <c r="A138" s="234">
        <v>1557</v>
      </c>
      <c r="B138" s="150" t="s">
        <v>1331</v>
      </c>
      <c r="C138" s="109">
        <v>1585.5</v>
      </c>
      <c r="D138" s="143">
        <v>137</v>
      </c>
      <c r="E138" s="105">
        <v>890</v>
      </c>
      <c r="F138" s="98">
        <v>138</v>
      </c>
      <c r="G138" s="110" t="s">
        <v>1332</v>
      </c>
      <c r="H138" s="101">
        <v>46112</v>
      </c>
      <c r="I138" s="68" t="s">
        <v>359</v>
      </c>
      <c r="J138" s="124"/>
      <c r="K138" s="172" t="s">
        <v>637</v>
      </c>
      <c r="L138" s="256">
        <f>_xlfn.IFS(NFSe_NC[[#This Row],[RETER ISS]]="NÃO",0,NFSe_NC[[#This Row],[RETER ISS]]="SIM",NFSe_NC[[#This Row],[VALOR NFS-e]]*5%)</f>
        <v>0</v>
      </c>
      <c r="M138" s="255" t="s">
        <v>637</v>
      </c>
      <c r="N138" s="105" cm="1">
        <f t="array" ref="N138">_xlfn.IFS(NFSe_NC[[#This Row],[RETER INSS]]="NÃO",0,NFSe_NC[[#This Row],[RETER INSS]]="SIM",NFSe_NC[[#This Row],[VALOR NFS-e]]*11%)</f>
        <v>0</v>
      </c>
      <c r="O138" s="109">
        <f t="shared" si="4"/>
        <v>890</v>
      </c>
      <c r="P138" s="108"/>
      <c r="Q138" s="113"/>
      <c r="S138" s="1"/>
      <c r="T138" s="1"/>
      <c r="U138"/>
      <c r="V138"/>
    </row>
    <row r="139" spans="1:22" x14ac:dyDescent="0.3">
      <c r="A139" s="234">
        <v>1603</v>
      </c>
      <c r="B139" s="150" t="s">
        <v>1187</v>
      </c>
      <c r="C139" s="109">
        <v>24329.08</v>
      </c>
      <c r="D139" s="143">
        <v>138</v>
      </c>
      <c r="E139" s="105">
        <v>8787.2199999999993</v>
      </c>
      <c r="F139" s="98">
        <v>134</v>
      </c>
      <c r="G139" s="110" t="s">
        <v>1337</v>
      </c>
      <c r="H139" s="101">
        <v>46114</v>
      </c>
      <c r="I139" s="68" t="s">
        <v>359</v>
      </c>
      <c r="J139" s="124"/>
      <c r="K139" s="172" t="s">
        <v>637</v>
      </c>
      <c r="L139" s="256">
        <f>_xlfn.IFS(NFSe_NC[[#This Row],[RETER ISS]]="NÃO",0,NFSe_NC[[#This Row],[RETER ISS]]="SIM",NFSe_NC[[#This Row],[VALOR NFS-e]]*5%)</f>
        <v>0</v>
      </c>
      <c r="M139" s="255" t="s">
        <v>637</v>
      </c>
      <c r="N139" s="105" cm="1">
        <f t="array" ref="N139">_xlfn.IFS(NFSe_NC[[#This Row],[RETER INSS]]="NÃO",0,NFSe_NC[[#This Row],[RETER INSS]]="SIM",NFSe_NC[[#This Row],[VALOR NFS-e]]*11%)</f>
        <v>0</v>
      </c>
      <c r="O139" s="109">
        <f t="shared" si="4"/>
        <v>8787.2199999999993</v>
      </c>
      <c r="P139" s="108"/>
      <c r="Q139" s="113"/>
      <c r="S139" s="1"/>
      <c r="T139" s="1"/>
      <c r="U139"/>
      <c r="V139"/>
    </row>
    <row r="140" spans="1:22" x14ac:dyDescent="0.3">
      <c r="A140" s="234">
        <v>1575</v>
      </c>
      <c r="B140" s="150" t="s">
        <v>432</v>
      </c>
      <c r="C140" s="109">
        <v>1280</v>
      </c>
      <c r="D140" s="143">
        <v>139</v>
      </c>
      <c r="E140" s="105">
        <v>1280</v>
      </c>
      <c r="F140" s="98">
        <v>139</v>
      </c>
      <c r="G140" s="110" t="s">
        <v>1339</v>
      </c>
      <c r="H140" s="101">
        <v>46114</v>
      </c>
      <c r="I140" s="68" t="s">
        <v>359</v>
      </c>
      <c r="J140" s="124"/>
      <c r="K140" s="159" t="s">
        <v>637</v>
      </c>
      <c r="L140" s="256">
        <f>_xlfn.IFS(NFSe_NC[[#This Row],[RETER ISS]]="NÃO",0,NFSe_NC[[#This Row],[RETER ISS]]="SIM",NFSe_NC[[#This Row],[VALOR NFS-e]]*5%)</f>
        <v>0</v>
      </c>
      <c r="M140" s="255" t="s">
        <v>637</v>
      </c>
      <c r="N140" s="105" cm="1">
        <f t="array" ref="N140">_xlfn.IFS(NFSe_NC[[#This Row],[RETER INSS]]="NÃO",0,NFSe_NC[[#This Row],[RETER INSS]]="SIM",NFSe_NC[[#This Row],[VALOR NFS-e]]*11%)</f>
        <v>0</v>
      </c>
      <c r="O140" s="109">
        <f t="shared" si="4"/>
        <v>1280</v>
      </c>
      <c r="P140" s="256"/>
      <c r="Q140" s="148"/>
    </row>
    <row r="141" spans="1:22" x14ac:dyDescent="0.3">
      <c r="A141" s="234">
        <v>1433</v>
      </c>
      <c r="B141" s="150" t="s">
        <v>712</v>
      </c>
      <c r="C141" s="109">
        <v>8645.25</v>
      </c>
      <c r="D141" s="143">
        <v>140</v>
      </c>
      <c r="E141" s="105">
        <v>1526</v>
      </c>
      <c r="F141" s="98">
        <v>140</v>
      </c>
      <c r="G141" s="110" t="s">
        <v>1347</v>
      </c>
      <c r="H141" s="101">
        <v>46118</v>
      </c>
      <c r="I141" s="68" t="s">
        <v>359</v>
      </c>
      <c r="J141" s="124"/>
      <c r="K141" s="159" t="s">
        <v>638</v>
      </c>
      <c r="L141" s="256">
        <f>_xlfn.IFS(NFSe_NC[[#This Row],[RETER ISS]]="NÃO",0,NFSe_NC[[#This Row],[RETER ISS]]="SIM",NFSe_NC[[#This Row],[VALOR NFS-e]]*5%)</f>
        <v>76.3</v>
      </c>
      <c r="M141" s="255" t="s">
        <v>637</v>
      </c>
      <c r="N141" s="105" cm="1">
        <f t="array" ref="N141">_xlfn.IFS(NFSe_NC[[#This Row],[RETER INSS]]="NÃO",0,NFSe_NC[[#This Row],[RETER INSS]]="SIM",NFSe_NC[[#This Row],[VALOR NFS-e]]*11%)</f>
        <v>0</v>
      </c>
      <c r="O141" s="109">
        <f t="shared" si="4"/>
        <v>1449.7</v>
      </c>
      <c r="P141" s="256"/>
      <c r="Q141" s="148"/>
    </row>
    <row r="142" spans="1:22" x14ac:dyDescent="0.3">
      <c r="A142" s="234">
        <v>1421</v>
      </c>
      <c r="B142" s="150" t="s">
        <v>501</v>
      </c>
      <c r="C142" s="109">
        <v>3436.24</v>
      </c>
      <c r="D142" s="143">
        <v>141</v>
      </c>
      <c r="E142" s="105">
        <v>950</v>
      </c>
      <c r="F142" s="98">
        <v>141</v>
      </c>
      <c r="G142" s="110" t="s">
        <v>1349</v>
      </c>
      <c r="H142" s="101">
        <v>46118</v>
      </c>
      <c r="I142" s="68" t="s">
        <v>57</v>
      </c>
      <c r="J142" s="124"/>
      <c r="K142" s="159" t="s">
        <v>638</v>
      </c>
      <c r="L142" s="256">
        <f>_xlfn.IFS(NFSe_NC[[#This Row],[RETER ISS]]="NÃO",0,NFSe_NC[[#This Row],[RETER ISS]]="SIM",NFSe_NC[[#This Row],[VALOR NFS-e]]*5%)</f>
        <v>47.5</v>
      </c>
      <c r="M142" s="255" t="s">
        <v>637</v>
      </c>
      <c r="N142" s="105" cm="1">
        <f t="array" ref="N142">_xlfn.IFS(NFSe_NC[[#This Row],[RETER INSS]]="NÃO",0,NFSe_NC[[#This Row],[RETER INSS]]="SIM",NFSe_NC[[#This Row],[VALOR NFS-e]]*11%)</f>
        <v>0</v>
      </c>
      <c r="O142" s="109">
        <f t="shared" si="4"/>
        <v>902.5</v>
      </c>
      <c r="P142" s="256"/>
      <c r="Q142" s="148"/>
    </row>
    <row r="143" spans="1:22" x14ac:dyDescent="0.3">
      <c r="A143" s="234">
        <v>1421</v>
      </c>
      <c r="B143" s="150" t="s">
        <v>501</v>
      </c>
      <c r="C143" s="109">
        <v>3436.24</v>
      </c>
      <c r="D143" s="143">
        <v>142</v>
      </c>
      <c r="E143" s="105">
        <v>855</v>
      </c>
      <c r="F143" s="98">
        <v>142</v>
      </c>
      <c r="G143" s="110" t="s">
        <v>1350</v>
      </c>
      <c r="H143" s="101">
        <v>46118</v>
      </c>
      <c r="I143" s="68" t="s">
        <v>57</v>
      </c>
      <c r="J143" s="124"/>
      <c r="K143" s="159" t="s">
        <v>638</v>
      </c>
      <c r="L143" s="256">
        <f>_xlfn.IFS(NFSe_NC[[#This Row],[RETER ISS]]="NÃO",0,NFSe_NC[[#This Row],[RETER ISS]]="SIM",NFSe_NC[[#This Row],[VALOR NFS-e]]*5%)</f>
        <v>42.75</v>
      </c>
      <c r="M143" s="255" t="s">
        <v>637</v>
      </c>
      <c r="N143" s="105" cm="1">
        <f t="array" ref="N143">_xlfn.IFS(NFSe_NC[[#This Row],[RETER INSS]]="NÃO",0,NFSe_NC[[#This Row],[RETER INSS]]="SIM",NFSe_NC[[#This Row],[VALOR NFS-e]]*11%)</f>
        <v>0</v>
      </c>
      <c r="O143" s="109">
        <f t="shared" si="4"/>
        <v>812.25</v>
      </c>
      <c r="P143" s="256"/>
      <c r="Q143" s="148"/>
    </row>
    <row r="144" spans="1:22" x14ac:dyDescent="0.3">
      <c r="A144" s="234">
        <v>1421</v>
      </c>
      <c r="B144" s="150" t="s">
        <v>501</v>
      </c>
      <c r="C144" s="109">
        <v>3436.24</v>
      </c>
      <c r="D144" s="143">
        <v>143</v>
      </c>
      <c r="E144" s="105">
        <v>855</v>
      </c>
      <c r="F144" s="98">
        <v>143</v>
      </c>
      <c r="G144" s="110" t="s">
        <v>1359</v>
      </c>
      <c r="H144" s="101">
        <v>46119</v>
      </c>
      <c r="I144" s="68" t="s">
        <v>57</v>
      </c>
      <c r="J144" s="124"/>
      <c r="K144" s="159" t="s">
        <v>638</v>
      </c>
      <c r="L144" s="256">
        <f>_xlfn.IFS(NFSe_NC[[#This Row],[RETER ISS]]="NÃO",0,NFSe_NC[[#This Row],[RETER ISS]]="SIM",NFSe_NC[[#This Row],[VALOR NFS-e]]*5%)</f>
        <v>42.75</v>
      </c>
      <c r="M144" s="255" t="s">
        <v>637</v>
      </c>
      <c r="N144" s="105" cm="1">
        <f t="array" ref="N144">_xlfn.IFS(NFSe_NC[[#This Row],[RETER INSS]]="NÃO",0,NFSe_NC[[#This Row],[RETER INSS]]="SIM",NFSe_NC[[#This Row],[VALOR NFS-e]]*11%)</f>
        <v>0</v>
      </c>
      <c r="O144" s="109">
        <f t="shared" si="4"/>
        <v>812.25</v>
      </c>
      <c r="P144" s="256"/>
      <c r="Q144" s="148"/>
    </row>
    <row r="145" spans="1:17" x14ac:dyDescent="0.3">
      <c r="A145" s="234">
        <v>1421</v>
      </c>
      <c r="B145" s="150" t="s">
        <v>501</v>
      </c>
      <c r="C145" s="109">
        <v>3436.24</v>
      </c>
      <c r="D145" s="143">
        <v>144</v>
      </c>
      <c r="E145" s="105">
        <v>855</v>
      </c>
      <c r="F145" s="98">
        <v>25</v>
      </c>
      <c r="G145" s="110" t="s">
        <v>1360</v>
      </c>
      <c r="H145" s="101">
        <v>46119</v>
      </c>
      <c r="I145" s="68" t="s">
        <v>359</v>
      </c>
      <c r="J145" s="124"/>
      <c r="K145" s="159" t="s">
        <v>638</v>
      </c>
      <c r="L145" s="256">
        <f>_xlfn.IFS(NFSe_NC[[#This Row],[RETER ISS]]="NÃO",0,NFSe_NC[[#This Row],[RETER ISS]]="SIM",NFSe_NC[[#This Row],[VALOR NFS-e]]*5%)</f>
        <v>42.75</v>
      </c>
      <c r="M145" s="255" t="s">
        <v>637</v>
      </c>
      <c r="N145" s="105" cm="1">
        <f t="array" ref="N145">_xlfn.IFS(NFSe_NC[[#This Row],[RETER INSS]]="NÃO",0,NFSe_NC[[#This Row],[RETER INSS]]="SIM",NFSe_NC[[#This Row],[VALOR NFS-e]]*11%)</f>
        <v>0</v>
      </c>
      <c r="O145" s="109">
        <f t="shared" si="4"/>
        <v>812.25</v>
      </c>
      <c r="P145" s="256"/>
      <c r="Q145" s="148"/>
    </row>
    <row r="146" spans="1:17" x14ac:dyDescent="0.3">
      <c r="A146" s="234">
        <v>1718</v>
      </c>
      <c r="B146" s="150" t="s">
        <v>597</v>
      </c>
      <c r="C146" s="109">
        <v>2163.1</v>
      </c>
      <c r="D146" s="143">
        <v>145</v>
      </c>
      <c r="E146" s="105">
        <v>890</v>
      </c>
      <c r="F146" s="98">
        <v>145</v>
      </c>
      <c r="G146" s="110" t="s">
        <v>1365</v>
      </c>
      <c r="H146" s="101">
        <v>46119</v>
      </c>
      <c r="I146" s="68" t="s">
        <v>359</v>
      </c>
      <c r="J146" s="124"/>
      <c r="K146" s="159" t="s">
        <v>637</v>
      </c>
      <c r="L146" s="256">
        <f>_xlfn.IFS(NFSe_NC[[#This Row],[RETER ISS]]="NÃO",0,NFSe_NC[[#This Row],[RETER ISS]]="SIM",NFSe_NC[[#This Row],[VALOR NFS-e]]*5%)</f>
        <v>0</v>
      </c>
      <c r="M146" s="255" t="s">
        <v>637</v>
      </c>
      <c r="N146" s="105" cm="1">
        <f t="array" ref="N146">_xlfn.IFS(NFSe_NC[[#This Row],[RETER INSS]]="NÃO",0,NFSe_NC[[#This Row],[RETER INSS]]="SIM",NFSe_NC[[#This Row],[VALOR NFS-e]]*11%)</f>
        <v>0</v>
      </c>
      <c r="O146" s="109">
        <f t="shared" si="4"/>
        <v>890</v>
      </c>
      <c r="P146" s="256"/>
      <c r="Q146" s="148"/>
    </row>
    <row r="147" spans="1:17" x14ac:dyDescent="0.3">
      <c r="A147" s="234">
        <v>1733</v>
      </c>
      <c r="B147" s="150" t="s">
        <v>1368</v>
      </c>
      <c r="C147" s="109">
        <v>890</v>
      </c>
      <c r="D147" s="143">
        <v>146</v>
      </c>
      <c r="E147" s="105">
        <v>890</v>
      </c>
      <c r="F147" s="98">
        <v>146</v>
      </c>
      <c r="G147" s="110" t="s">
        <v>1369</v>
      </c>
      <c r="H147" s="101">
        <v>46119</v>
      </c>
      <c r="I147" s="68" t="s">
        <v>359</v>
      </c>
      <c r="J147" s="124"/>
      <c r="K147" s="159" t="s">
        <v>638</v>
      </c>
      <c r="L147" s="256">
        <f>_xlfn.IFS(NFSe_NC[[#This Row],[RETER ISS]]="NÃO",0,NFSe_NC[[#This Row],[RETER ISS]]="SIM",NFSe_NC[[#This Row],[VALOR NFS-e]]*5%)</f>
        <v>44.5</v>
      </c>
      <c r="M147" s="255" t="s">
        <v>637</v>
      </c>
      <c r="N147" s="105" cm="1">
        <f t="array" ref="N147">_xlfn.IFS(NFSe_NC[[#This Row],[RETER INSS]]="NÃO",0,NFSe_NC[[#This Row],[RETER INSS]]="SIM",NFSe_NC[[#This Row],[VALOR NFS-e]]*11%)</f>
        <v>0</v>
      </c>
      <c r="O147" s="109">
        <f t="shared" si="4"/>
        <v>845.5</v>
      </c>
      <c r="P147" s="256"/>
      <c r="Q147" s="148"/>
    </row>
    <row r="148" spans="1:17" x14ac:dyDescent="0.3">
      <c r="A148" s="234">
        <v>1674</v>
      </c>
      <c r="B148" s="150" t="s">
        <v>618</v>
      </c>
      <c r="C148" s="109">
        <v>1580.3</v>
      </c>
      <c r="D148" s="143">
        <v>147</v>
      </c>
      <c r="E148" s="105">
        <v>750.5</v>
      </c>
      <c r="F148" s="98">
        <v>147</v>
      </c>
      <c r="G148" s="110" t="s">
        <v>1506</v>
      </c>
      <c r="H148" s="101">
        <v>46119</v>
      </c>
      <c r="I148" s="68" t="s">
        <v>57</v>
      </c>
      <c r="J148" s="124"/>
      <c r="K148" s="159" t="s">
        <v>637</v>
      </c>
      <c r="L148" s="256">
        <f>_xlfn.IFS(NFSe_NC[[#This Row],[RETER ISS]]="NÃO",0,NFSe_NC[[#This Row],[RETER ISS]]="SIM",NFSe_NC[[#This Row],[VALOR NFS-e]]*5%)</f>
        <v>0</v>
      </c>
      <c r="M148" s="255" t="s">
        <v>637</v>
      </c>
      <c r="N148" s="105" cm="1">
        <f t="array" ref="N148">_xlfn.IFS(NFSe_NC[[#This Row],[RETER INSS]]="NÃO",0,NFSe_NC[[#This Row],[RETER INSS]]="SIM",NFSe_NC[[#This Row],[VALOR NFS-e]]*11%)</f>
        <v>0</v>
      </c>
      <c r="O148" s="109">
        <f t="shared" si="4"/>
        <v>750.5</v>
      </c>
      <c r="P148" s="256"/>
      <c r="Q148" s="148"/>
    </row>
    <row r="149" spans="1:17" x14ac:dyDescent="0.3">
      <c r="A149" s="234">
        <v>1415</v>
      </c>
      <c r="B149" s="150" t="s">
        <v>597</v>
      </c>
      <c r="C149" s="109">
        <v>2953.8</v>
      </c>
      <c r="D149" s="143">
        <v>148</v>
      </c>
      <c r="E149" s="105">
        <v>850</v>
      </c>
      <c r="F149" s="98">
        <v>148</v>
      </c>
      <c r="G149" s="110" t="s">
        <v>1509</v>
      </c>
      <c r="H149" s="101">
        <v>46119</v>
      </c>
      <c r="I149" s="68" t="s">
        <v>359</v>
      </c>
      <c r="J149" s="124"/>
      <c r="K149" s="159" t="s">
        <v>637</v>
      </c>
      <c r="L149" s="256">
        <f>_xlfn.IFS(NFSe_NC[[#This Row],[RETER ISS]]="NÃO",0,NFSe_NC[[#This Row],[RETER ISS]]="SIM",NFSe_NC[[#This Row],[VALOR NFS-e]]*5%)</f>
        <v>0</v>
      </c>
      <c r="M149" s="255" t="s">
        <v>637</v>
      </c>
      <c r="N149" s="105" cm="1">
        <f t="array" ref="N149">_xlfn.IFS(NFSe_NC[[#This Row],[RETER INSS]]="NÃO",0,NFSe_NC[[#This Row],[RETER INSS]]="SIM",NFSe_NC[[#This Row],[VALOR NFS-e]]*11%)</f>
        <v>0</v>
      </c>
      <c r="O149" s="109">
        <f t="shared" si="4"/>
        <v>850</v>
      </c>
      <c r="P149" s="256"/>
      <c r="Q149" s="148"/>
    </row>
    <row r="150" spans="1:17" x14ac:dyDescent="0.3">
      <c r="A150" s="234" t="s">
        <v>15</v>
      </c>
      <c r="B150" s="150" t="s">
        <v>607</v>
      </c>
      <c r="C150" s="109">
        <v>10760.15</v>
      </c>
      <c r="D150" s="143">
        <v>149</v>
      </c>
      <c r="E150" s="105">
        <v>10760.15</v>
      </c>
      <c r="F150" s="98">
        <v>149</v>
      </c>
      <c r="G150" s="110" t="s">
        <v>1528</v>
      </c>
      <c r="H150" s="101">
        <v>46121</v>
      </c>
      <c r="I150" s="68" t="s">
        <v>359</v>
      </c>
      <c r="J150" s="124"/>
      <c r="K150" s="159" t="s">
        <v>637</v>
      </c>
      <c r="L150" s="256">
        <f>_xlfn.IFS(NFSe_NC[[#This Row],[RETER ISS]]="NÃO",0,NFSe_NC[[#This Row],[RETER ISS]]="SIM",NFSe_NC[[#This Row],[VALOR NFS-e]]*5%)</f>
        <v>0</v>
      </c>
      <c r="M150" s="255" t="s">
        <v>637</v>
      </c>
      <c r="N150" s="105" cm="1">
        <f t="array" ref="N150">_xlfn.IFS(NFSe_NC[[#This Row],[RETER INSS]]="NÃO",0,NFSe_NC[[#This Row],[RETER INSS]]="SIM",NFSe_NC[[#This Row],[VALOR NFS-e]]*11%)</f>
        <v>0</v>
      </c>
      <c r="O150" s="109">
        <f t="shared" si="4"/>
        <v>10760.15</v>
      </c>
      <c r="P150" s="256"/>
      <c r="Q150" s="148"/>
    </row>
    <row r="151" spans="1:17" x14ac:dyDescent="0.3">
      <c r="A151" s="234">
        <v>1501</v>
      </c>
      <c r="B151" s="150" t="s">
        <v>1539</v>
      </c>
      <c r="C151" s="109">
        <v>15138.5</v>
      </c>
      <c r="D151" s="143">
        <v>150</v>
      </c>
      <c r="E151" s="105">
        <v>9920</v>
      </c>
      <c r="F151" s="98">
        <v>150</v>
      </c>
      <c r="G151" s="110" t="s">
        <v>1541</v>
      </c>
      <c r="H151" s="101">
        <v>46122</v>
      </c>
      <c r="I151" s="68" t="s">
        <v>359</v>
      </c>
      <c r="J151" s="124"/>
      <c r="K151" s="159" t="s">
        <v>638</v>
      </c>
      <c r="L151" s="256">
        <f>_xlfn.IFS(NFSe_NC[[#This Row],[RETER ISS]]="NÃO",0,NFSe_NC[[#This Row],[RETER ISS]]="SIM",NFSe_NC[[#This Row],[VALOR NFS-e]]*5%)</f>
        <v>496</v>
      </c>
      <c r="M151" s="255" t="s">
        <v>638</v>
      </c>
      <c r="N151" s="105" cm="1">
        <f t="array" ref="N151">_xlfn.IFS(NFSe_NC[[#This Row],[RETER INSS]]="NÃO",0,NFSe_NC[[#This Row],[RETER INSS]]="SIM",NFSe_NC[[#This Row],[VALOR NFS-e]]*11%)</f>
        <v>1091.2</v>
      </c>
      <c r="O151" s="109">
        <f t="shared" si="4"/>
        <v>8332.7999999999993</v>
      </c>
      <c r="P151" s="256"/>
      <c r="Q151" s="148"/>
    </row>
    <row r="152" spans="1:17" x14ac:dyDescent="0.3">
      <c r="A152" s="234">
        <v>1709</v>
      </c>
      <c r="B152" s="150" t="s">
        <v>1542</v>
      </c>
      <c r="C152" s="109">
        <v>980</v>
      </c>
      <c r="D152" s="143">
        <v>151</v>
      </c>
      <c r="E152" s="105">
        <v>980</v>
      </c>
      <c r="F152" s="98">
        <v>151</v>
      </c>
      <c r="G152" s="110" t="s">
        <v>1543</v>
      </c>
      <c r="H152" s="101">
        <v>46122</v>
      </c>
      <c r="I152" s="68" t="s">
        <v>359</v>
      </c>
      <c r="J152" s="124"/>
      <c r="K152" s="159" t="s">
        <v>637</v>
      </c>
      <c r="L152" s="256">
        <f>_xlfn.IFS(NFSe_NC[[#This Row],[RETER ISS]]="NÃO",0,NFSe_NC[[#This Row],[RETER ISS]]="SIM",NFSe_NC[[#This Row],[VALOR NFS-e]]*5%)</f>
        <v>0</v>
      </c>
      <c r="M152" s="255" t="s">
        <v>637</v>
      </c>
      <c r="N152" s="105" cm="1">
        <f t="array" ref="N152">_xlfn.IFS(NFSe_NC[[#This Row],[RETER INSS]]="NÃO",0,NFSe_NC[[#This Row],[RETER INSS]]="SIM",NFSe_NC[[#This Row],[VALOR NFS-e]]*11%)</f>
        <v>0</v>
      </c>
      <c r="O152" s="109">
        <f t="shared" si="4"/>
        <v>980</v>
      </c>
      <c r="P152" s="256"/>
      <c r="Q152" s="148"/>
    </row>
    <row r="153" spans="1:17" x14ac:dyDescent="0.3">
      <c r="A153" s="234">
        <v>1448</v>
      </c>
      <c r="B153" s="150" t="s">
        <v>1406</v>
      </c>
      <c r="C153" s="109">
        <v>11671.7</v>
      </c>
      <c r="D153" s="143">
        <v>152</v>
      </c>
      <c r="E153" s="105">
        <v>3900</v>
      </c>
      <c r="F153" s="98">
        <v>152</v>
      </c>
      <c r="G153" s="110" t="s">
        <v>1553</v>
      </c>
      <c r="H153" s="101">
        <v>46126</v>
      </c>
      <c r="I153" s="68" t="s">
        <v>359</v>
      </c>
      <c r="J153" s="124"/>
      <c r="K153" s="159" t="s">
        <v>637</v>
      </c>
      <c r="L153" s="256">
        <f>_xlfn.IFS(NFSe_NC[[#This Row],[RETER ISS]]="NÃO",0,NFSe_NC[[#This Row],[RETER ISS]]="SIM",NFSe_NC[[#This Row],[VALOR NFS-e]]*5%)</f>
        <v>0</v>
      </c>
      <c r="M153" s="255" t="s">
        <v>637</v>
      </c>
      <c r="N153" s="105" cm="1">
        <f t="array" ref="N153">_xlfn.IFS(NFSe_NC[[#This Row],[RETER INSS]]="NÃO",0,NFSe_NC[[#This Row],[RETER INSS]]="SIM",NFSe_NC[[#This Row],[VALOR NFS-e]]*11%)</f>
        <v>0</v>
      </c>
      <c r="O153" s="109">
        <f t="shared" si="4"/>
        <v>3900</v>
      </c>
      <c r="P153" s="256"/>
      <c r="Q153" s="148"/>
    </row>
    <row r="154" spans="1:17" x14ac:dyDescent="0.3">
      <c r="A154" s="234">
        <v>1345</v>
      </c>
      <c r="B154" s="150" t="s">
        <v>438</v>
      </c>
      <c r="C154" s="109">
        <v>60590</v>
      </c>
      <c r="D154" s="143">
        <v>153</v>
      </c>
      <c r="E154" s="105">
        <v>8110</v>
      </c>
      <c r="F154" s="98">
        <v>153</v>
      </c>
      <c r="G154" s="110" t="s">
        <v>1626</v>
      </c>
      <c r="H154" s="101">
        <v>46128</v>
      </c>
      <c r="I154" s="68" t="s">
        <v>359</v>
      </c>
      <c r="J154" s="124"/>
      <c r="K154" s="159" t="s">
        <v>637</v>
      </c>
      <c r="L154" s="256">
        <f>_xlfn.IFS(NFSe_NC[[#This Row],[RETER ISS]]="NÃO",0,NFSe_NC[[#This Row],[RETER ISS]]="SIM",NFSe_NC[[#This Row],[VALOR NFS-e]]*5%)</f>
        <v>0</v>
      </c>
      <c r="M154" s="255" t="s">
        <v>637</v>
      </c>
      <c r="N154" s="105" cm="1">
        <f t="array" ref="N154">_xlfn.IFS(NFSe_NC[[#This Row],[RETER INSS]]="NÃO",0,NFSe_NC[[#This Row],[RETER INSS]]="SIM",NFSe_NC[[#This Row],[VALOR NFS-e]]*11%)</f>
        <v>0</v>
      </c>
      <c r="O154" s="109">
        <f t="shared" si="4"/>
        <v>8110</v>
      </c>
      <c r="P154" s="256"/>
      <c r="Q154" s="148"/>
    </row>
    <row r="155" spans="1:17" x14ac:dyDescent="0.3">
      <c r="A155" s="234">
        <v>1479</v>
      </c>
      <c r="B155" s="150" t="s">
        <v>1631</v>
      </c>
      <c r="C155" s="109">
        <v>4730</v>
      </c>
      <c r="D155" s="143">
        <v>154</v>
      </c>
      <c r="E155" s="105">
        <v>4350</v>
      </c>
      <c r="F155" s="98">
        <v>154</v>
      </c>
      <c r="G155" s="110" t="s">
        <v>1633</v>
      </c>
      <c r="H155" s="101">
        <v>46128</v>
      </c>
      <c r="I155" s="68" t="s">
        <v>57</v>
      </c>
      <c r="J155" s="124"/>
      <c r="K155" s="159" t="s">
        <v>637</v>
      </c>
      <c r="L155" s="256">
        <f>_xlfn.IFS(NFSe_NC[[#This Row],[RETER ISS]]="NÃO",0,NFSe_NC[[#This Row],[RETER ISS]]="SIM",NFSe_NC[[#This Row],[VALOR NFS-e]]*5%)</f>
        <v>0</v>
      </c>
      <c r="M155" s="255" t="s">
        <v>637</v>
      </c>
      <c r="N155" s="105" cm="1">
        <f t="array" ref="N155">_xlfn.IFS(NFSe_NC[[#This Row],[RETER INSS]]="NÃO",0,NFSe_NC[[#This Row],[RETER INSS]]="SIM",NFSe_NC[[#This Row],[VALOR NFS-e]]*11%)</f>
        <v>0</v>
      </c>
      <c r="O155" s="109">
        <f t="shared" si="4"/>
        <v>4350</v>
      </c>
      <c r="P155" s="256"/>
      <c r="Q155" s="148"/>
    </row>
    <row r="156" spans="1:17" x14ac:dyDescent="0.3">
      <c r="A156" s="234">
        <v>1091</v>
      </c>
      <c r="B156" s="150" t="s">
        <v>718</v>
      </c>
      <c r="C156" s="109">
        <v>5550</v>
      </c>
      <c r="D156" s="143">
        <v>155</v>
      </c>
      <c r="E156" s="105">
        <v>3380</v>
      </c>
      <c r="F156" s="98">
        <v>155</v>
      </c>
      <c r="G156" s="110" t="s">
        <v>1635</v>
      </c>
      <c r="H156" s="101">
        <v>46128</v>
      </c>
      <c r="I156" s="68" t="s">
        <v>359</v>
      </c>
      <c r="J156" s="124"/>
      <c r="K156" s="159" t="s">
        <v>637</v>
      </c>
      <c r="L156" s="256">
        <f>_xlfn.IFS(NFSe_NC[[#This Row],[RETER ISS]]="NÃO",0,NFSe_NC[[#This Row],[RETER ISS]]="SIM",NFSe_NC[[#This Row],[VALOR NFS-e]]*5%)</f>
        <v>0</v>
      </c>
      <c r="M156" s="255" t="s">
        <v>637</v>
      </c>
      <c r="N156" s="105" cm="1">
        <f t="array" ref="N156">_xlfn.IFS(NFSe_NC[[#This Row],[RETER INSS]]="NÃO",0,NFSe_NC[[#This Row],[RETER INSS]]="SIM",NFSe_NC[[#This Row],[VALOR NFS-e]]*11%)</f>
        <v>0</v>
      </c>
      <c r="O156" s="109">
        <f t="shared" si="4"/>
        <v>3380</v>
      </c>
      <c r="P156" s="256"/>
      <c r="Q156" s="148"/>
    </row>
    <row r="157" spans="1:17" x14ac:dyDescent="0.3">
      <c r="A157" s="234">
        <v>1064</v>
      </c>
      <c r="B157" s="150" t="s">
        <v>718</v>
      </c>
      <c r="C157" s="109">
        <v>3170</v>
      </c>
      <c r="D157" s="143">
        <v>156</v>
      </c>
      <c r="E157" s="105">
        <v>2240</v>
      </c>
      <c r="F157" s="98">
        <v>156</v>
      </c>
      <c r="G157" s="110" t="s">
        <v>1637</v>
      </c>
      <c r="H157" s="101">
        <v>46128</v>
      </c>
      <c r="I157" s="68" t="s">
        <v>359</v>
      </c>
      <c r="J157" s="124"/>
      <c r="K157" s="159" t="s">
        <v>637</v>
      </c>
      <c r="L157" s="256">
        <f>_xlfn.IFS(NFSe_NC[[#This Row],[RETER ISS]]="NÃO",0,NFSe_NC[[#This Row],[RETER ISS]]="SIM",NFSe_NC[[#This Row],[VALOR NFS-e]]*5%)</f>
        <v>0</v>
      </c>
      <c r="M157" s="255" t="s">
        <v>637</v>
      </c>
      <c r="N157" s="105" cm="1">
        <f t="array" ref="N157">_xlfn.IFS(NFSe_NC[[#This Row],[RETER INSS]]="NÃO",0,NFSe_NC[[#This Row],[RETER INSS]]="SIM",NFSe_NC[[#This Row],[VALOR NFS-e]]*11%)</f>
        <v>0</v>
      </c>
      <c r="O157" s="109">
        <f t="shared" si="4"/>
        <v>2240</v>
      </c>
      <c r="P157" s="256"/>
      <c r="Q157" s="148"/>
    </row>
    <row r="158" spans="1:17" x14ac:dyDescent="0.3">
      <c r="A158" s="234">
        <v>1479</v>
      </c>
      <c r="B158" s="150" t="s">
        <v>1631</v>
      </c>
      <c r="C158" s="109">
        <v>4730</v>
      </c>
      <c r="D158" s="143">
        <v>157</v>
      </c>
      <c r="E158" s="105">
        <v>4350</v>
      </c>
      <c r="F158" s="98">
        <v>157</v>
      </c>
      <c r="G158" s="110" t="s">
        <v>1639</v>
      </c>
      <c r="H158" s="101">
        <v>46128</v>
      </c>
      <c r="I158" s="68" t="s">
        <v>359</v>
      </c>
      <c r="J158" s="124"/>
      <c r="K158" s="159" t="s">
        <v>637</v>
      </c>
      <c r="L158" s="256">
        <f>_xlfn.IFS(NFSe_NC[[#This Row],[RETER ISS]]="NÃO",0,NFSe_NC[[#This Row],[RETER ISS]]="SIM",NFSe_NC[[#This Row],[VALOR NFS-e]]*5%)</f>
        <v>0</v>
      </c>
      <c r="M158" s="255" t="s">
        <v>638</v>
      </c>
      <c r="N158" s="105" cm="1">
        <f t="array" ref="N158">_xlfn.IFS(NFSe_NC[[#This Row],[RETER INSS]]="NÃO",0,NFSe_NC[[#This Row],[RETER INSS]]="SIM",NFSe_NC[[#This Row],[VALOR NFS-e]]*11%)</f>
        <v>478.5</v>
      </c>
      <c r="O158" s="109">
        <f t="shared" si="4"/>
        <v>3871.5</v>
      </c>
      <c r="P158" s="256"/>
      <c r="Q158" s="148"/>
    </row>
    <row r="159" spans="1:17" x14ac:dyDescent="0.3">
      <c r="A159" s="234">
        <v>1512</v>
      </c>
      <c r="B159" s="150" t="s">
        <v>1555</v>
      </c>
      <c r="C159" s="109">
        <v>14338</v>
      </c>
      <c r="D159" s="143">
        <v>158</v>
      </c>
      <c r="E159" s="105">
        <v>4815</v>
      </c>
      <c r="F159" s="98">
        <v>158</v>
      </c>
      <c r="G159" s="110" t="s">
        <v>1641</v>
      </c>
      <c r="H159" s="101">
        <v>46129</v>
      </c>
      <c r="I159" s="68" t="s">
        <v>359</v>
      </c>
      <c r="J159" s="124"/>
      <c r="K159" s="159" t="s">
        <v>637</v>
      </c>
      <c r="L159" s="256">
        <f>_xlfn.IFS(NFSe_NC[[#This Row],[RETER ISS]]="NÃO",0,NFSe_NC[[#This Row],[RETER ISS]]="SIM",NFSe_NC[[#This Row],[VALOR NFS-e]]*5%)</f>
        <v>0</v>
      </c>
      <c r="M159" s="255" t="s">
        <v>638</v>
      </c>
      <c r="N159" s="105" cm="1">
        <f t="array" ref="N159">_xlfn.IFS(NFSe_NC[[#This Row],[RETER INSS]]="NÃO",0,NFSe_NC[[#This Row],[RETER INSS]]="SIM",NFSe_NC[[#This Row],[VALOR NFS-e]]*11%)</f>
        <v>529.65</v>
      </c>
      <c r="O159" s="109">
        <f>E159-L159-N159</f>
        <v>4285.3500000000004</v>
      </c>
      <c r="P159" s="256"/>
      <c r="Q159" s="148"/>
    </row>
    <row r="160" spans="1:17" x14ac:dyDescent="0.3">
      <c r="A160" s="234">
        <v>1701</v>
      </c>
      <c r="B160" s="150" t="s">
        <v>1555</v>
      </c>
      <c r="C160" s="109">
        <v>14338</v>
      </c>
      <c r="D160" s="143">
        <v>159</v>
      </c>
      <c r="E160" s="105">
        <v>4815</v>
      </c>
      <c r="F160" s="98">
        <v>159</v>
      </c>
      <c r="G160" s="110" t="s">
        <v>1642</v>
      </c>
      <c r="H160" s="101">
        <v>46129</v>
      </c>
      <c r="I160" s="68" t="s">
        <v>359</v>
      </c>
      <c r="J160" s="124"/>
      <c r="K160" s="159" t="s">
        <v>637</v>
      </c>
      <c r="L160" s="256">
        <f>_xlfn.IFS(NFSe_NC[[#This Row],[RETER ISS]]="NÃO",0,NFSe_NC[[#This Row],[RETER ISS]]="SIM",NFSe_NC[[#This Row],[VALOR NFS-e]]*5%)</f>
        <v>0</v>
      </c>
      <c r="M160" s="255" t="s">
        <v>638</v>
      </c>
      <c r="N160" s="105" cm="1">
        <f t="array" ref="N160">_xlfn.IFS(NFSe_NC[[#This Row],[RETER INSS]]="NÃO",0,NFSe_NC[[#This Row],[RETER INSS]]="SIM",NFSe_NC[[#This Row],[VALOR NFS-e]]*11%)</f>
        <v>529.65</v>
      </c>
      <c r="O160" s="109">
        <f>E160-L160-N160</f>
        <v>4285.3500000000004</v>
      </c>
      <c r="P160" s="256"/>
      <c r="Q160" s="148"/>
    </row>
    <row r="161" spans="1:17" x14ac:dyDescent="0.3">
      <c r="A161" s="234">
        <v>1749</v>
      </c>
      <c r="B161" s="150" t="s">
        <v>1668</v>
      </c>
      <c r="C161" s="109">
        <v>1240</v>
      </c>
      <c r="D161" s="143">
        <v>160</v>
      </c>
      <c r="E161" s="105">
        <v>590</v>
      </c>
      <c r="F161" s="98">
        <v>160</v>
      </c>
      <c r="G161" s="110" t="s">
        <v>1670</v>
      </c>
      <c r="H161" s="101">
        <v>46129</v>
      </c>
      <c r="I161" s="68" t="s">
        <v>359</v>
      </c>
      <c r="J161" s="124"/>
      <c r="K161" s="159" t="s">
        <v>637</v>
      </c>
      <c r="L161" s="256">
        <f>_xlfn.IFS(NFSe_NC[[#This Row],[RETER ISS]]="NÃO",0,NFSe_NC[[#This Row],[RETER ISS]]="SIM",NFSe_NC[[#This Row],[VALOR NFS-e]]*5%)</f>
        <v>0</v>
      </c>
      <c r="M161" s="255" t="s">
        <v>637</v>
      </c>
      <c r="N161" s="105" cm="1">
        <f t="array" ref="N161">_xlfn.IFS(NFSe_NC[[#This Row],[RETER INSS]]="NÃO",0,NFSe_NC[[#This Row],[RETER INSS]]="SIM",NFSe_NC[[#This Row],[VALOR NFS-e]]*11%)</f>
        <v>0</v>
      </c>
      <c r="O161" s="109">
        <f>E161-L161-N161</f>
        <v>590</v>
      </c>
      <c r="P161" s="256"/>
      <c r="Q161" s="148"/>
    </row>
    <row r="162" spans="1:17" x14ac:dyDescent="0.3">
      <c r="A162" s="234">
        <v>1390</v>
      </c>
      <c r="B162" s="150" t="s">
        <v>467</v>
      </c>
      <c r="C162" s="109">
        <v>3983.75</v>
      </c>
      <c r="D162" s="143">
        <v>161</v>
      </c>
      <c r="E162" s="105">
        <v>2938.75</v>
      </c>
      <c r="F162" s="98">
        <v>161</v>
      </c>
      <c r="G162" s="110" t="s">
        <v>1672</v>
      </c>
      <c r="H162" s="101">
        <v>46129</v>
      </c>
      <c r="I162" s="68" t="s">
        <v>359</v>
      </c>
      <c r="J162" s="124"/>
      <c r="K162" s="159" t="s">
        <v>637</v>
      </c>
      <c r="L162" s="256">
        <f>_xlfn.IFS(NFSe_NC[[#This Row],[RETER ISS]]="NÃO",0,NFSe_NC[[#This Row],[RETER ISS]]="SIM",NFSe_NC[[#This Row],[VALOR NFS-e]]*5%)</f>
        <v>0</v>
      </c>
      <c r="M162" s="255" t="s">
        <v>637</v>
      </c>
      <c r="N162" s="105" cm="1">
        <f t="array" ref="N162">_xlfn.IFS(NFSe_NC[[#This Row],[RETER INSS]]="NÃO",0,NFSe_NC[[#This Row],[RETER INSS]]="SIM",NFSe_NC[[#This Row],[VALOR NFS-e]]*11%)</f>
        <v>0</v>
      </c>
      <c r="O162" s="109">
        <f>E162-L162-N162</f>
        <v>2938.75</v>
      </c>
      <c r="P162" s="256"/>
      <c r="Q162" s="148"/>
    </row>
    <row r="163" spans="1:17" x14ac:dyDescent="0.3">
      <c r="A163" s="233">
        <v>1468</v>
      </c>
      <c r="B163" s="175" t="s">
        <v>467</v>
      </c>
      <c r="C163" s="321">
        <v>4417.5</v>
      </c>
      <c r="D163" s="142">
        <v>162</v>
      </c>
      <c r="E163" s="104">
        <v>1687.5</v>
      </c>
      <c r="F163" s="176">
        <v>162</v>
      </c>
      <c r="G163" s="84" t="s">
        <v>1674</v>
      </c>
      <c r="H163" s="177">
        <v>46129</v>
      </c>
      <c r="I163" s="66" t="s">
        <v>359</v>
      </c>
      <c r="J163" s="125"/>
      <c r="K163" s="158" t="s">
        <v>637</v>
      </c>
      <c r="L163" s="322">
        <f>_xlfn.IFS(NFSe_NC[[#This Row],[RETER ISS]]="NÃO",0,NFSe_NC[[#This Row],[RETER ISS]]="SIM",NFSe_NC[[#This Row],[VALOR NFS-e]]*5%)</f>
        <v>0</v>
      </c>
      <c r="M163" s="255" t="s">
        <v>637</v>
      </c>
      <c r="N163" s="104" cm="1">
        <f t="array" ref="N163">_xlfn.IFS(NFSe_NC[[#This Row],[RETER INSS]]="NÃO",0,NFSe_NC[[#This Row],[RETER INSS]]="SIM",NFSe_NC[[#This Row],[VALOR NFS-e]]*11%)</f>
        <v>0</v>
      </c>
      <c r="O163" s="321">
        <f t="shared" ref="O163:O171" si="5">E163-L163-N163</f>
        <v>1687.5</v>
      </c>
      <c r="P163" s="256"/>
      <c r="Q163" s="148"/>
    </row>
    <row r="164" spans="1:17" x14ac:dyDescent="0.3">
      <c r="A164" s="233">
        <v>1469</v>
      </c>
      <c r="B164" s="175" t="s">
        <v>467</v>
      </c>
      <c r="C164" s="321">
        <v>1687.5</v>
      </c>
      <c r="D164" s="142">
        <v>163</v>
      </c>
      <c r="E164" s="104">
        <v>1687.5</v>
      </c>
      <c r="F164" s="176">
        <v>163</v>
      </c>
      <c r="G164" s="84" t="s">
        <v>1676</v>
      </c>
      <c r="H164" s="177">
        <v>46129</v>
      </c>
      <c r="I164" s="66" t="s">
        <v>359</v>
      </c>
      <c r="J164" s="125"/>
      <c r="K164" s="158" t="s">
        <v>637</v>
      </c>
      <c r="L164" s="322">
        <f>_xlfn.IFS(NFSe_NC[[#This Row],[RETER ISS]]="NÃO",0,NFSe_NC[[#This Row],[RETER ISS]]="SIM",NFSe_NC[[#This Row],[VALOR NFS-e]]*5%)</f>
        <v>0</v>
      </c>
      <c r="M164" s="255" t="s">
        <v>637</v>
      </c>
      <c r="N164" s="104" cm="1">
        <f t="array" ref="N164">_xlfn.IFS(NFSe_NC[[#This Row],[RETER INSS]]="NÃO",0,NFSe_NC[[#This Row],[RETER INSS]]="SIM",NFSe_NC[[#This Row],[VALOR NFS-e]]*11%)</f>
        <v>0</v>
      </c>
      <c r="O164" s="321">
        <f t="shared" si="5"/>
        <v>1687.5</v>
      </c>
      <c r="P164" s="323"/>
      <c r="Q164" s="13"/>
    </row>
    <row r="165" spans="1:17" x14ac:dyDescent="0.3">
      <c r="A165" s="233">
        <v>1470</v>
      </c>
      <c r="B165" s="175" t="s">
        <v>467</v>
      </c>
      <c r="C165" s="321">
        <v>2720</v>
      </c>
      <c r="D165" s="142">
        <v>164</v>
      </c>
      <c r="E165" s="104">
        <v>1687.5</v>
      </c>
      <c r="F165" s="176">
        <v>164</v>
      </c>
      <c r="G165" s="84" t="s">
        <v>1677</v>
      </c>
      <c r="H165" s="177">
        <v>46129</v>
      </c>
      <c r="I165" s="66" t="s">
        <v>359</v>
      </c>
      <c r="J165" s="125"/>
      <c r="K165" s="158" t="s">
        <v>637</v>
      </c>
      <c r="L165" s="322">
        <f>_xlfn.IFS(NFSe_NC[[#This Row],[RETER ISS]]="NÃO",0,NFSe_NC[[#This Row],[RETER ISS]]="SIM",NFSe_NC[[#This Row],[VALOR NFS-e]]*5%)</f>
        <v>0</v>
      </c>
      <c r="M165" s="255" t="s">
        <v>637</v>
      </c>
      <c r="N165" s="104" cm="1">
        <f t="array" ref="N165">_xlfn.IFS(NFSe_NC[[#This Row],[RETER INSS]]="NÃO",0,NFSe_NC[[#This Row],[RETER INSS]]="SIM",NFSe_NC[[#This Row],[VALOR NFS-e]]*11%)</f>
        <v>0</v>
      </c>
      <c r="O165" s="321">
        <f t="shared" si="5"/>
        <v>1687.5</v>
      </c>
      <c r="P165" s="323"/>
      <c r="Q165" s="13"/>
    </row>
    <row r="166" spans="1:17" x14ac:dyDescent="0.3">
      <c r="A166" s="233">
        <v>1471</v>
      </c>
      <c r="B166" s="175" t="s">
        <v>467</v>
      </c>
      <c r="C166" s="321">
        <v>14594.5</v>
      </c>
      <c r="D166" s="142">
        <v>165</v>
      </c>
      <c r="E166" s="104">
        <v>2350</v>
      </c>
      <c r="F166" s="176">
        <v>165</v>
      </c>
      <c r="G166" s="84" t="s">
        <v>1680</v>
      </c>
      <c r="H166" s="177">
        <v>46129</v>
      </c>
      <c r="I166" s="66" t="s">
        <v>359</v>
      </c>
      <c r="J166" s="125"/>
      <c r="K166" s="158" t="s">
        <v>637</v>
      </c>
      <c r="L166" s="322">
        <f>_xlfn.IFS(NFSe_NC[[#This Row],[RETER ISS]]="NÃO",0,NFSe_NC[[#This Row],[RETER ISS]]="SIM",NFSe_NC[[#This Row],[VALOR NFS-e]]*5%)</f>
        <v>0</v>
      </c>
      <c r="M166" s="255" t="s">
        <v>637</v>
      </c>
      <c r="N166" s="104" cm="1">
        <f t="array" ref="N166">_xlfn.IFS(NFSe_NC[[#This Row],[RETER INSS]]="NÃO",0,NFSe_NC[[#This Row],[RETER INSS]]="SIM",NFSe_NC[[#This Row],[VALOR NFS-e]]*11%)</f>
        <v>0</v>
      </c>
      <c r="O166" s="321">
        <f t="shared" si="5"/>
        <v>2350</v>
      </c>
      <c r="P166" s="323"/>
      <c r="Q166" s="13"/>
    </row>
    <row r="167" spans="1:17" x14ac:dyDescent="0.3">
      <c r="A167" s="233">
        <v>1472</v>
      </c>
      <c r="B167" s="175" t="s">
        <v>467</v>
      </c>
      <c r="C167" s="321">
        <v>2965</v>
      </c>
      <c r="D167" s="142">
        <v>166</v>
      </c>
      <c r="E167" s="104">
        <v>1150</v>
      </c>
      <c r="F167" s="176">
        <v>166</v>
      </c>
      <c r="G167" s="84" t="s">
        <v>1682</v>
      </c>
      <c r="H167" s="177">
        <v>46129</v>
      </c>
      <c r="I167" s="66" t="s">
        <v>359</v>
      </c>
      <c r="J167" s="125"/>
      <c r="K167" s="158" t="s">
        <v>637</v>
      </c>
      <c r="L167" s="322">
        <f>_xlfn.IFS(NFSe_NC[[#This Row],[RETER ISS]]="NÃO",0,NFSe_NC[[#This Row],[RETER ISS]]="SIM",NFSe_NC[[#This Row],[VALOR NFS-e]]*5%)</f>
        <v>0</v>
      </c>
      <c r="M167" s="255" t="s">
        <v>637</v>
      </c>
      <c r="N167" s="104" cm="1">
        <f t="array" ref="N167">_xlfn.IFS(NFSe_NC[[#This Row],[RETER INSS]]="NÃO",0,NFSe_NC[[#This Row],[RETER INSS]]="SIM",NFSe_NC[[#This Row],[VALOR NFS-e]]*11%)</f>
        <v>0</v>
      </c>
      <c r="O167" s="321">
        <f t="shared" si="5"/>
        <v>1150</v>
      </c>
      <c r="P167" s="323"/>
      <c r="Q167" s="13"/>
    </row>
    <row r="168" spans="1:17" x14ac:dyDescent="0.3">
      <c r="A168" s="233">
        <v>1473</v>
      </c>
      <c r="B168" s="175" t="s">
        <v>467</v>
      </c>
      <c r="C168" s="321">
        <v>4225.5</v>
      </c>
      <c r="D168" s="142">
        <v>167</v>
      </c>
      <c r="E168" s="104">
        <v>1687.5</v>
      </c>
      <c r="F168" s="176">
        <v>167</v>
      </c>
      <c r="G168" s="84" t="s">
        <v>1683</v>
      </c>
      <c r="H168" s="177">
        <v>46129</v>
      </c>
      <c r="I168" s="66" t="s">
        <v>359</v>
      </c>
      <c r="J168" s="125"/>
      <c r="K168" s="158" t="s">
        <v>637</v>
      </c>
      <c r="L168" s="322">
        <f>_xlfn.IFS(NFSe_NC[[#This Row],[RETER ISS]]="NÃO",0,NFSe_NC[[#This Row],[RETER ISS]]="SIM",NFSe_NC[[#This Row],[VALOR NFS-e]]*5%)</f>
        <v>0</v>
      </c>
      <c r="M168" s="255" t="s">
        <v>637</v>
      </c>
      <c r="N168" s="104" cm="1">
        <f t="array" ref="N168">_xlfn.IFS(NFSe_NC[[#This Row],[RETER INSS]]="NÃO",0,NFSe_NC[[#This Row],[RETER INSS]]="SIM",NFSe_NC[[#This Row],[VALOR NFS-e]]*11%)</f>
        <v>0</v>
      </c>
      <c r="O168" s="321">
        <f t="shared" si="5"/>
        <v>1687.5</v>
      </c>
      <c r="P168" s="323"/>
      <c r="Q168" s="13"/>
    </row>
    <row r="169" spans="1:17" x14ac:dyDescent="0.3">
      <c r="A169" s="233">
        <v>1474</v>
      </c>
      <c r="B169" s="175" t="s">
        <v>467</v>
      </c>
      <c r="C169" s="321">
        <v>1150</v>
      </c>
      <c r="D169" s="142">
        <v>168</v>
      </c>
      <c r="E169" s="104">
        <v>1150</v>
      </c>
      <c r="F169" s="176">
        <v>168</v>
      </c>
      <c r="G169" s="84" t="s">
        <v>1685</v>
      </c>
      <c r="H169" s="177">
        <v>46129</v>
      </c>
      <c r="I169" s="66" t="s">
        <v>359</v>
      </c>
      <c r="J169" s="125"/>
      <c r="K169" s="158" t="s">
        <v>637</v>
      </c>
      <c r="L169" s="322">
        <f>_xlfn.IFS(NFSe_NC[[#This Row],[RETER ISS]]="NÃO",0,NFSe_NC[[#This Row],[RETER ISS]]="SIM",NFSe_NC[[#This Row],[VALOR NFS-e]]*5%)</f>
        <v>0</v>
      </c>
      <c r="M169" s="255" t="s">
        <v>637</v>
      </c>
      <c r="N169" s="104" cm="1">
        <f t="array" ref="N169">_xlfn.IFS(NFSe_NC[[#This Row],[RETER INSS]]="NÃO",0,NFSe_NC[[#This Row],[RETER INSS]]="SIM",NFSe_NC[[#This Row],[VALOR NFS-e]]*11%)</f>
        <v>0</v>
      </c>
      <c r="O169" s="321">
        <f t="shared" si="5"/>
        <v>1150</v>
      </c>
      <c r="P169" s="323"/>
      <c r="Q169" s="13"/>
    </row>
    <row r="170" spans="1:17" x14ac:dyDescent="0.3">
      <c r="A170" s="233">
        <v>1475</v>
      </c>
      <c r="B170" s="175" t="s">
        <v>467</v>
      </c>
      <c r="C170" s="321">
        <v>4327.9799999999996</v>
      </c>
      <c r="D170" s="142">
        <v>169</v>
      </c>
      <c r="E170" s="104">
        <v>2330</v>
      </c>
      <c r="F170" s="176">
        <v>169</v>
      </c>
      <c r="G170" s="84" t="s">
        <v>1687</v>
      </c>
      <c r="H170" s="177">
        <v>46129</v>
      </c>
      <c r="I170" s="66" t="s">
        <v>359</v>
      </c>
      <c r="J170" s="125"/>
      <c r="K170" s="158" t="s">
        <v>637</v>
      </c>
      <c r="L170" s="322">
        <f>_xlfn.IFS(NFSe_NC[[#This Row],[RETER ISS]]="NÃO",0,NFSe_NC[[#This Row],[RETER ISS]]="SIM",NFSe_NC[[#This Row],[VALOR NFS-e]]*5%)</f>
        <v>0</v>
      </c>
      <c r="M170" s="255" t="s">
        <v>637</v>
      </c>
      <c r="N170" s="104" cm="1">
        <f t="array" ref="N170">_xlfn.IFS(NFSe_NC[[#This Row],[RETER INSS]]="NÃO",0,NFSe_NC[[#This Row],[RETER INSS]]="SIM",NFSe_NC[[#This Row],[VALOR NFS-e]]*11%)</f>
        <v>0</v>
      </c>
      <c r="O170" s="321">
        <f t="shared" si="5"/>
        <v>2330</v>
      </c>
      <c r="P170" s="323"/>
      <c r="Q170" s="13"/>
    </row>
    <row r="171" spans="1:17" x14ac:dyDescent="0.3">
      <c r="A171" s="234">
        <v>1476</v>
      </c>
      <c r="B171" s="150" t="s">
        <v>467</v>
      </c>
      <c r="C171" s="109">
        <v>3215</v>
      </c>
      <c r="D171" s="143">
        <v>170</v>
      </c>
      <c r="E171" s="105">
        <v>2360</v>
      </c>
      <c r="F171" s="98">
        <v>170</v>
      </c>
      <c r="G171" s="110" t="s">
        <v>1688</v>
      </c>
      <c r="H171" s="101">
        <v>46129</v>
      </c>
      <c r="I171" s="68" t="s">
        <v>359</v>
      </c>
      <c r="J171" s="124"/>
      <c r="K171" s="159" t="s">
        <v>637</v>
      </c>
      <c r="L171" s="256">
        <f>_xlfn.IFS(NFSe_NC[[#This Row],[RETER ISS]]="NÃO",0,NFSe_NC[[#This Row],[RETER ISS]]="SIM",NFSe_NC[[#This Row],[VALOR NFS-e]]*5%)</f>
        <v>0</v>
      </c>
      <c r="M171" s="255" t="s">
        <v>637</v>
      </c>
      <c r="N171" s="105" cm="1">
        <f t="array" ref="N171">_xlfn.IFS(NFSe_NC[[#This Row],[RETER INSS]]="NÃO",0,NFSe_NC[[#This Row],[RETER INSS]]="SIM",NFSe_NC[[#This Row],[VALOR NFS-e]]*11%)</f>
        <v>0</v>
      </c>
      <c r="O171" s="109">
        <f t="shared" si="5"/>
        <v>2360</v>
      </c>
      <c r="P171" s="323"/>
      <c r="Q171" s="13"/>
    </row>
    <row r="172" spans="1:17" x14ac:dyDescent="0.3">
      <c r="A172" s="234">
        <v>1770</v>
      </c>
      <c r="B172" s="150" t="s">
        <v>1716</v>
      </c>
      <c r="C172" s="109">
        <v>1806</v>
      </c>
      <c r="D172" s="143">
        <v>171</v>
      </c>
      <c r="E172" s="105">
        <v>790</v>
      </c>
      <c r="F172" s="98">
        <v>171</v>
      </c>
      <c r="G172" s="110" t="s">
        <v>1717</v>
      </c>
      <c r="H172" s="101">
        <v>46134</v>
      </c>
      <c r="I172" s="68" t="s">
        <v>359</v>
      </c>
      <c r="J172" s="124"/>
      <c r="K172" s="159" t="s">
        <v>637</v>
      </c>
      <c r="L172" s="256">
        <f>_xlfn.IFS(NFSe_NC[[#This Row],[RETER ISS]]="NÃO",0,NFSe_NC[[#This Row],[RETER ISS]]="SIM",NFSe_NC[[#This Row],[VALOR NFS-e]]*5%)</f>
        <v>0</v>
      </c>
      <c r="M172" s="255" t="s">
        <v>637</v>
      </c>
      <c r="N172" s="105" cm="1">
        <f t="array" ref="N172">_xlfn.IFS(NFSe_NC[[#This Row],[RETER INSS]]="NÃO",0,NFSe_NC[[#This Row],[RETER INSS]]="SIM",NFSe_NC[[#This Row],[VALOR NFS-e]]*11%)</f>
        <v>0</v>
      </c>
      <c r="O172" s="109">
        <f>E172-L172-N172</f>
        <v>790</v>
      </c>
      <c r="P172" s="256"/>
      <c r="Q172" s="148"/>
    </row>
    <row r="173" spans="1:17" x14ac:dyDescent="0.3">
      <c r="A173" s="234">
        <v>1779</v>
      </c>
      <c r="B173" s="150" t="s">
        <v>1719</v>
      </c>
      <c r="C173" s="109">
        <v>790</v>
      </c>
      <c r="D173" s="143">
        <v>172</v>
      </c>
      <c r="E173" s="105">
        <v>790</v>
      </c>
      <c r="F173" s="98">
        <v>172</v>
      </c>
      <c r="G173" s="110" t="s">
        <v>1720</v>
      </c>
      <c r="H173" s="101">
        <v>46134</v>
      </c>
      <c r="I173" s="68" t="s">
        <v>359</v>
      </c>
      <c r="J173" s="124"/>
      <c r="K173" s="159" t="s">
        <v>637</v>
      </c>
      <c r="L173" s="256">
        <f>_xlfn.IFS(NFSe_NC[[#This Row],[RETER ISS]]="NÃO",0,NFSe_NC[[#This Row],[RETER ISS]]="SIM",NFSe_NC[[#This Row],[VALOR NFS-e]]*5%)</f>
        <v>0</v>
      </c>
      <c r="M173" s="255" t="s">
        <v>637</v>
      </c>
      <c r="N173" s="105" cm="1">
        <f t="array" ref="N173">_xlfn.IFS(NFSe_NC[[#This Row],[RETER INSS]]="NÃO",0,NFSe_NC[[#This Row],[RETER INSS]]="SIM",NFSe_NC[[#This Row],[VALOR NFS-e]]*11%)</f>
        <v>0</v>
      </c>
      <c r="O173" s="109">
        <f>E173-L173-N173</f>
        <v>790</v>
      </c>
      <c r="P173" s="256"/>
      <c r="Q173" s="148"/>
    </row>
    <row r="174" spans="1:17" x14ac:dyDescent="0.3">
      <c r="A174" s="234">
        <v>1756</v>
      </c>
      <c r="B174" s="150" t="s">
        <v>1077</v>
      </c>
      <c r="C174" s="109">
        <v>590</v>
      </c>
      <c r="D174" s="143">
        <v>173</v>
      </c>
      <c r="E174" s="105">
        <v>590</v>
      </c>
      <c r="F174" s="98">
        <v>173</v>
      </c>
      <c r="G174" s="110" t="s">
        <v>1721</v>
      </c>
      <c r="H174" s="101">
        <v>46134</v>
      </c>
      <c r="I174" s="68" t="s">
        <v>359</v>
      </c>
      <c r="J174" s="124"/>
      <c r="K174" s="159" t="s">
        <v>637</v>
      </c>
      <c r="L174" s="256">
        <f>_xlfn.IFS(NFSe_NC[[#This Row],[RETER ISS]]="NÃO",0,NFSe_NC[[#This Row],[RETER ISS]]="SIM",NFSe_NC[[#This Row],[VALOR NFS-e]]*5%)</f>
        <v>0</v>
      </c>
      <c r="M174" s="255" t="s">
        <v>637</v>
      </c>
      <c r="N174" s="105" cm="1">
        <f t="array" ref="N174">_xlfn.IFS(NFSe_NC[[#This Row],[RETER INSS]]="NÃO",0,NFSe_NC[[#This Row],[RETER INSS]]="SIM",NFSe_NC[[#This Row],[VALOR NFS-e]]*11%)</f>
        <v>0</v>
      </c>
      <c r="O174" s="109">
        <f>E174-L174-N174</f>
        <v>590</v>
      </c>
      <c r="P174" s="256"/>
      <c r="Q174" s="148"/>
    </row>
    <row r="175" spans="1:17" x14ac:dyDescent="0.3">
      <c r="A175" s="234">
        <v>1768</v>
      </c>
      <c r="B175" s="150" t="s">
        <v>1722</v>
      </c>
      <c r="C175" s="109">
        <v>890</v>
      </c>
      <c r="D175" s="143">
        <v>174</v>
      </c>
      <c r="E175" s="105">
        <v>890</v>
      </c>
      <c r="F175" s="98">
        <v>174</v>
      </c>
      <c r="G175" s="110" t="s">
        <v>1723</v>
      </c>
      <c r="H175" s="101">
        <v>46134</v>
      </c>
      <c r="I175" s="68" t="s">
        <v>359</v>
      </c>
      <c r="J175" s="124"/>
      <c r="K175" s="159" t="s">
        <v>638</v>
      </c>
      <c r="L175" s="256">
        <f>_xlfn.IFS(NFSe_NC[[#This Row],[RETER ISS]]="NÃO",0,NFSe_NC[[#This Row],[RETER ISS]]="SIM",NFSe_NC[[#This Row],[VALOR NFS-e]]*5%)</f>
        <v>44.5</v>
      </c>
      <c r="M175" s="255" t="s">
        <v>637</v>
      </c>
      <c r="N175" s="105" cm="1">
        <f t="array" ref="N175">_xlfn.IFS(NFSe_NC[[#This Row],[RETER INSS]]="NÃO",0,NFSe_NC[[#This Row],[RETER INSS]]="SIM",NFSe_NC[[#This Row],[VALOR NFS-e]]*11%)</f>
        <v>0</v>
      </c>
      <c r="O175" s="109">
        <f>E175-L175-N175</f>
        <v>845.5</v>
      </c>
      <c r="P175" s="256"/>
      <c r="Q175" s="148"/>
    </row>
    <row r="176" spans="1:17" x14ac:dyDescent="0.3">
      <c r="A176" s="234">
        <v>1440</v>
      </c>
      <c r="B176" s="150" t="s">
        <v>1724</v>
      </c>
      <c r="C176" s="109">
        <v>1664</v>
      </c>
      <c r="D176" s="143">
        <v>175</v>
      </c>
      <c r="E176" s="105">
        <v>890</v>
      </c>
      <c r="F176" s="98">
        <v>175</v>
      </c>
      <c r="G176" s="110" t="s">
        <v>1725</v>
      </c>
      <c r="H176" s="101">
        <v>46134</v>
      </c>
      <c r="I176" s="68" t="s">
        <v>359</v>
      </c>
      <c r="J176" s="124"/>
      <c r="K176" s="159" t="s">
        <v>637</v>
      </c>
      <c r="L176" s="256">
        <f>_xlfn.IFS(NFSe_NC[[#This Row],[RETER ISS]]="NÃO",0,NFSe_NC[[#This Row],[RETER ISS]]="SIM",NFSe_NC[[#This Row],[VALOR NFS-e]]*5%)</f>
        <v>0</v>
      </c>
      <c r="M176" s="255" t="s">
        <v>637</v>
      </c>
      <c r="N176" s="105" cm="1">
        <f t="array" ref="N176">_xlfn.IFS(NFSe_NC[[#This Row],[RETER INSS]]="NÃO",0,NFSe_NC[[#This Row],[RETER INSS]]="SIM",NFSe_NC[[#This Row],[VALOR NFS-e]]*11%)</f>
        <v>0</v>
      </c>
      <c r="O176" s="109">
        <f>E176-L176-N176</f>
        <v>890</v>
      </c>
      <c r="P176" s="256"/>
      <c r="Q176" s="148"/>
    </row>
    <row r="177" spans="1:17" x14ac:dyDescent="0.3">
      <c r="A177" s="234">
        <v>1713</v>
      </c>
      <c r="B177" s="150" t="s">
        <v>1741</v>
      </c>
      <c r="C177" s="109">
        <v>12938</v>
      </c>
      <c r="D177" s="143">
        <v>176</v>
      </c>
      <c r="E177" s="105">
        <v>8255</v>
      </c>
      <c r="F177" s="98">
        <v>176</v>
      </c>
      <c r="G177" s="110" t="s">
        <v>1742</v>
      </c>
      <c r="H177" s="101">
        <v>46135</v>
      </c>
      <c r="I177" s="68" t="s">
        <v>359</v>
      </c>
      <c r="J177" s="124"/>
      <c r="K177" s="159" t="s">
        <v>637</v>
      </c>
      <c r="L177" s="343">
        <f>_xlfn.IFS(NFSe_NC[[#This Row],[RETER ISS]]="NÃO",0,NFSe_NC[[#This Row],[RETER ISS]]="SIM",NFSe_NC[[#This Row],[VALOR NFS-e]]*5%)</f>
        <v>0</v>
      </c>
      <c r="M177" s="255" t="s">
        <v>637</v>
      </c>
      <c r="N177" s="344" cm="1">
        <f t="array" ref="N177">_xlfn.IFS(NFSe_NC[[#This Row],[RETER INSS]]="NÃO",0,NFSe_NC[[#This Row],[RETER INSS]]="SIM",NFSe_NC[[#This Row],[VALOR NFS-e]]*11%)</f>
        <v>0</v>
      </c>
      <c r="O177" s="345">
        <f>E177-L177-N177</f>
        <v>8255</v>
      </c>
      <c r="P177" s="256"/>
      <c r="Q177" s="148"/>
    </row>
    <row r="178" spans="1:17" x14ac:dyDescent="0.3">
      <c r="A178" s="234">
        <v>1741</v>
      </c>
      <c r="B178" s="150" t="s">
        <v>473</v>
      </c>
      <c r="C178" s="109">
        <v>890</v>
      </c>
      <c r="D178" s="143">
        <v>177</v>
      </c>
      <c r="E178" s="105">
        <v>890</v>
      </c>
      <c r="F178" s="98">
        <v>177</v>
      </c>
      <c r="G178" s="110" t="s">
        <v>1747</v>
      </c>
      <c r="H178" s="101">
        <v>46135</v>
      </c>
      <c r="I178" s="68" t="s">
        <v>359</v>
      </c>
      <c r="J178" s="124"/>
      <c r="K178" s="159" t="s">
        <v>637</v>
      </c>
      <c r="L178" s="343">
        <f>_xlfn.IFS(NFSe_NC[[#This Row],[RETER ISS]]="NÃO",0,NFSe_NC[[#This Row],[RETER ISS]]="SIM",NFSe_NC[[#This Row],[VALOR NFS-e]]*5%)</f>
        <v>0</v>
      </c>
      <c r="M178" s="255" t="s">
        <v>637</v>
      </c>
      <c r="N178" s="344" cm="1">
        <f t="array" ref="N178">_xlfn.IFS(NFSe_NC[[#This Row],[RETER INSS]]="NÃO",0,NFSe_NC[[#This Row],[RETER INSS]]="SIM",NFSe_NC[[#This Row],[VALOR NFS-e]]*11%)</f>
        <v>0</v>
      </c>
      <c r="O178" s="345">
        <f>E178-L178-N178</f>
        <v>890</v>
      </c>
      <c r="P178" s="256"/>
      <c r="Q178" s="148"/>
    </row>
    <row r="179" spans="1:17" x14ac:dyDescent="0.3">
      <c r="A179" s="234">
        <v>1797</v>
      </c>
      <c r="B179" s="150" t="s">
        <v>611</v>
      </c>
      <c r="C179" s="109">
        <v>890</v>
      </c>
      <c r="D179" s="143">
        <v>178</v>
      </c>
      <c r="E179" s="105">
        <v>890</v>
      </c>
      <c r="F179" s="98">
        <v>178</v>
      </c>
      <c r="G179" s="110" t="s">
        <v>1748</v>
      </c>
      <c r="H179" s="101">
        <v>46135</v>
      </c>
      <c r="I179" s="68" t="s">
        <v>359</v>
      </c>
      <c r="J179" s="124"/>
      <c r="K179" s="159" t="s">
        <v>637</v>
      </c>
      <c r="L179" s="343">
        <f>_xlfn.IFS(NFSe_NC[[#This Row],[RETER ISS]]="NÃO",0,NFSe_NC[[#This Row],[RETER ISS]]="SIM",NFSe_NC[[#This Row],[VALOR NFS-e]]*5%)</f>
        <v>0</v>
      </c>
      <c r="M179" s="255" t="s">
        <v>637</v>
      </c>
      <c r="N179" s="344" cm="1">
        <f t="array" ref="N179">_xlfn.IFS(NFSe_NC[[#This Row],[RETER INSS]]="NÃO",0,NFSe_NC[[#This Row],[RETER INSS]]="SIM",NFSe_NC[[#This Row],[VALOR NFS-e]]*11%)</f>
        <v>0</v>
      </c>
      <c r="O179" s="345">
        <f>E179-L179-N179</f>
        <v>890</v>
      </c>
      <c r="P179" s="256"/>
      <c r="Q179" s="148"/>
    </row>
    <row r="180" spans="1:17" x14ac:dyDescent="0.3">
      <c r="A180" s="234">
        <v>1799</v>
      </c>
      <c r="B180" s="150" t="s">
        <v>639</v>
      </c>
      <c r="C180" s="109">
        <v>1485.5</v>
      </c>
      <c r="D180" s="143">
        <v>179</v>
      </c>
      <c r="E180" s="105">
        <v>790</v>
      </c>
      <c r="F180" s="98">
        <v>179</v>
      </c>
      <c r="G180" s="110" t="s">
        <v>1749</v>
      </c>
      <c r="H180" s="101">
        <v>46135</v>
      </c>
      <c r="I180" s="68" t="s">
        <v>359</v>
      </c>
      <c r="J180" s="124"/>
      <c r="K180" s="159" t="s">
        <v>637</v>
      </c>
      <c r="L180" s="343">
        <f>_xlfn.IFS(NFSe_NC[[#This Row],[RETER ISS]]="NÃO",0,NFSe_NC[[#This Row],[RETER ISS]]="SIM",NFSe_NC[[#This Row],[VALOR NFS-e]]*5%)</f>
        <v>0</v>
      </c>
      <c r="M180" s="255" t="s">
        <v>637</v>
      </c>
      <c r="N180" s="344" cm="1">
        <f t="array" ref="N180">_xlfn.IFS(NFSe_NC[[#This Row],[RETER INSS]]="NÃO",0,NFSe_NC[[#This Row],[RETER INSS]]="SIM",NFSe_NC[[#This Row],[VALOR NFS-e]]*11%)</f>
        <v>0</v>
      </c>
      <c r="O180" s="345">
        <f>E180-L180-N180</f>
        <v>790</v>
      </c>
      <c r="P180" s="256"/>
      <c r="Q180" s="148"/>
    </row>
    <row r="181" spans="1:17" x14ac:dyDescent="0.3">
      <c r="M181" s="156"/>
    </row>
    <row r="182" spans="1:17" x14ac:dyDescent="0.3">
      <c r="M182" s="156"/>
    </row>
    <row r="183" spans="1:17" x14ac:dyDescent="0.3">
      <c r="M183" s="156"/>
    </row>
    <row r="184" spans="1:17" x14ac:dyDescent="0.3">
      <c r="M184" s="156"/>
    </row>
    <row r="185" spans="1:17" x14ac:dyDescent="0.3">
      <c r="M185" s="156"/>
    </row>
    <row r="186" spans="1:17" x14ac:dyDescent="0.3">
      <c r="M186" s="156"/>
    </row>
    <row r="187" spans="1:17" x14ac:dyDescent="0.3">
      <c r="M187" s="156"/>
    </row>
    <row r="188" spans="1:17" x14ac:dyDescent="0.3">
      <c r="M188" s="156"/>
    </row>
    <row r="189" spans="1:17" x14ac:dyDescent="0.3">
      <c r="M189" s="156"/>
    </row>
    <row r="190" spans="1:17" x14ac:dyDescent="0.3">
      <c r="M190" s="156"/>
    </row>
    <row r="191" spans="1:17" x14ac:dyDescent="0.3">
      <c r="M191" s="156"/>
    </row>
    <row r="192" spans="1:17" x14ac:dyDescent="0.3">
      <c r="M192" s="156"/>
    </row>
    <row r="193" spans="13:13" x14ac:dyDescent="0.3">
      <c r="M193" s="156"/>
    </row>
    <row r="194" spans="13:13" x14ac:dyDescent="0.3">
      <c r="M194" s="156"/>
    </row>
    <row r="195" spans="13:13" x14ac:dyDescent="0.3">
      <c r="M195" s="156"/>
    </row>
    <row r="196" spans="13:13" x14ac:dyDescent="0.3">
      <c r="M196" s="156"/>
    </row>
    <row r="197" spans="13:13" x14ac:dyDescent="0.3">
      <c r="M197" s="156"/>
    </row>
    <row r="198" spans="13:13" x14ac:dyDescent="0.3">
      <c r="M198" s="156"/>
    </row>
    <row r="199" spans="13:13" x14ac:dyDescent="0.3">
      <c r="M199" s="156"/>
    </row>
    <row r="200" spans="13:13" x14ac:dyDescent="0.3">
      <c r="M200" s="156"/>
    </row>
    <row r="201" spans="13:13" x14ac:dyDescent="0.3">
      <c r="M201" s="156"/>
    </row>
    <row r="202" spans="13:13" x14ac:dyDescent="0.3">
      <c r="M202" s="156"/>
    </row>
    <row r="203" spans="13:13" x14ac:dyDescent="0.3">
      <c r="M203" s="156"/>
    </row>
    <row r="204" spans="13:13" x14ac:dyDescent="0.3">
      <c r="M204" s="156"/>
    </row>
    <row r="205" spans="13:13" x14ac:dyDescent="0.3">
      <c r="M205" s="156"/>
    </row>
    <row r="206" spans="13:13" x14ac:dyDescent="0.3">
      <c r="M206" s="156"/>
    </row>
  </sheetData>
  <phoneticPr fontId="3" type="noConversion"/>
  <conditionalFormatting sqref="D2:J180 O2:Q180">
    <cfRule type="expression" dxfId="21" priority="10">
      <formula>$I2="Aguardando"</formula>
    </cfRule>
    <cfRule type="expression" dxfId="20" priority="35">
      <formula>$I2="Cancelada"</formula>
    </cfRule>
    <cfRule type="expression" dxfId="19" priority="36">
      <formula>$I2="Substituida"</formula>
    </cfRule>
    <cfRule type="expression" dxfId="18" priority="37">
      <formula>$I2="Emitida"</formula>
    </cfRule>
  </conditionalFormatting>
  <conditionalFormatting sqref="K2:L180">
    <cfRule type="expression" dxfId="17" priority="4">
      <formula>$K2="NÃO"</formula>
    </cfRule>
    <cfRule type="expression" dxfId="16" priority="5">
      <formula>$K2="SIM"</formula>
    </cfRule>
  </conditionalFormatting>
  <conditionalFormatting sqref="M2:N180">
    <cfRule type="expression" dxfId="15" priority="1">
      <formula>$M2="NÃO"</formula>
    </cfRule>
    <cfRule type="expression" dxfId="14" priority="2">
      <formula>$M2="SIM"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0B89-DF57-432A-B605-7CD6C6C5A797}">
  <sheetPr>
    <tabColor theme="4"/>
  </sheetPr>
  <dimension ref="A1:P8"/>
  <sheetViews>
    <sheetView showGridLines="0" workbookViewId="0">
      <selection activeCell="E14" sqref="E14"/>
    </sheetView>
  </sheetViews>
  <sheetFormatPr defaultRowHeight="16.5" x14ac:dyDescent="0.3"/>
  <cols>
    <col min="1" max="1" width="10.75" style="1" customWidth="1"/>
    <col min="2" max="2" width="15.875" style="4" bestFit="1" customWidth="1"/>
    <col min="3" max="3" width="19.75" customWidth="1"/>
    <col min="4" max="4" width="17.375" style="10" customWidth="1"/>
    <col min="5" max="5" width="15.5" style="1" bestFit="1" customWidth="1"/>
    <col min="6" max="6" width="16.25" style="10" customWidth="1"/>
    <col min="7" max="7" width="14.75" style="1" bestFit="1" customWidth="1"/>
    <col min="8" max="8" width="23.625" style="1" bestFit="1" customWidth="1"/>
    <col min="9" max="9" width="20" style="10" customWidth="1"/>
    <col min="10" max="10" width="9.5" style="1" customWidth="1"/>
    <col min="11" max="11" width="8.75" style="1" customWidth="1"/>
    <col min="12" max="12" width="8.625" style="1" customWidth="1"/>
    <col min="13" max="13" width="6.875" style="1" bestFit="1" customWidth="1"/>
    <col min="14" max="14" width="13.75" style="1" bestFit="1" customWidth="1"/>
    <col min="15" max="16" width="9" style="1"/>
  </cols>
  <sheetData>
    <row r="1" spans="1:14" s="3" customFormat="1" ht="17.25" thickBot="1" x14ac:dyDescent="0.35">
      <c r="A1" s="8" t="s">
        <v>1</v>
      </c>
      <c r="B1" s="7" t="s">
        <v>0</v>
      </c>
      <c r="C1" s="11" t="s">
        <v>364</v>
      </c>
      <c r="D1" s="9" t="s">
        <v>49</v>
      </c>
      <c r="E1" s="12" t="s">
        <v>9</v>
      </c>
      <c r="F1" s="126" t="s">
        <v>48</v>
      </c>
      <c r="G1" s="126" t="s">
        <v>17</v>
      </c>
      <c r="H1" s="127" t="s">
        <v>291</v>
      </c>
      <c r="I1" s="128" t="s">
        <v>11</v>
      </c>
      <c r="J1" s="8" t="s">
        <v>6</v>
      </c>
      <c r="K1" s="8" t="s">
        <v>7</v>
      </c>
      <c r="L1" s="9" t="s">
        <v>12</v>
      </c>
      <c r="M1" s="21" t="s">
        <v>77</v>
      </c>
      <c r="N1" s="2"/>
    </row>
    <row r="2" spans="1:14" x14ac:dyDescent="0.3">
      <c r="A2" s="5">
        <v>5</v>
      </c>
      <c r="B2" s="4" t="s">
        <v>14</v>
      </c>
      <c r="C2" s="10">
        <v>24836.25</v>
      </c>
      <c r="D2" s="6">
        <v>1095</v>
      </c>
      <c r="E2" s="13">
        <v>24836.25</v>
      </c>
      <c r="F2" s="132" t="s">
        <v>15</v>
      </c>
      <c r="G2" s="133" t="s">
        <v>15</v>
      </c>
      <c r="H2" s="134" t="s">
        <v>15</v>
      </c>
      <c r="I2" s="133" t="s">
        <v>15</v>
      </c>
      <c r="J2" s="5" t="s">
        <v>16</v>
      </c>
      <c r="K2" s="1" t="s">
        <v>16</v>
      </c>
      <c r="L2" s="14" t="s">
        <v>12</v>
      </c>
      <c r="M2" s="29"/>
    </row>
    <row r="3" spans="1:14" x14ac:dyDescent="0.3">
      <c r="A3" s="5">
        <v>1147</v>
      </c>
      <c r="B3" s="4" t="s">
        <v>14</v>
      </c>
      <c r="C3" s="10">
        <v>10023.15</v>
      </c>
      <c r="D3" s="6">
        <v>1096</v>
      </c>
      <c r="E3" s="13">
        <v>5056.75</v>
      </c>
      <c r="F3" s="129" t="s">
        <v>15</v>
      </c>
      <c r="G3" s="130" t="s">
        <v>15</v>
      </c>
      <c r="H3" s="131" t="s">
        <v>15</v>
      </c>
      <c r="I3" s="130" t="s">
        <v>15</v>
      </c>
      <c r="J3" s="5" t="s">
        <v>16</v>
      </c>
      <c r="K3" s="1" t="s">
        <v>16</v>
      </c>
      <c r="L3" s="15" t="s">
        <v>12</v>
      </c>
      <c r="M3" s="30"/>
    </row>
    <row r="4" spans="1:14" x14ac:dyDescent="0.3">
      <c r="A4" s="41">
        <v>380</v>
      </c>
      <c r="B4" s="40" t="s">
        <v>50</v>
      </c>
      <c r="C4" s="42">
        <v>15070.5</v>
      </c>
      <c r="D4" s="43">
        <v>1098</v>
      </c>
      <c r="E4" s="44">
        <v>13030.5</v>
      </c>
      <c r="F4" s="135"/>
      <c r="G4" s="136"/>
      <c r="H4" s="137">
        <v>2040</v>
      </c>
      <c r="I4" s="136" t="s">
        <v>51</v>
      </c>
      <c r="J4" s="41" t="s">
        <v>16</v>
      </c>
      <c r="K4" s="45" t="s">
        <v>16</v>
      </c>
      <c r="L4" s="46" t="s">
        <v>180</v>
      </c>
      <c r="M4" s="30" t="s">
        <v>290</v>
      </c>
    </row>
    <row r="5" spans="1:14" x14ac:dyDescent="0.3">
      <c r="A5" s="5">
        <v>1088</v>
      </c>
      <c r="B5" s="4" t="s">
        <v>56</v>
      </c>
      <c r="C5" s="10">
        <v>1320</v>
      </c>
      <c r="D5" s="6">
        <v>1099</v>
      </c>
      <c r="E5" s="13">
        <v>870</v>
      </c>
      <c r="F5" s="129">
        <v>1</v>
      </c>
      <c r="G5" s="130">
        <v>1</v>
      </c>
      <c r="H5" s="131">
        <v>450</v>
      </c>
      <c r="I5" s="130" t="s">
        <v>15</v>
      </c>
      <c r="J5" s="5" t="s">
        <v>16</v>
      </c>
      <c r="K5" s="1" t="s">
        <v>16</v>
      </c>
      <c r="L5" s="15" t="s">
        <v>12</v>
      </c>
      <c r="M5" s="30"/>
    </row>
    <row r="6" spans="1:14" x14ac:dyDescent="0.3">
      <c r="A6" s="5">
        <v>1090</v>
      </c>
      <c r="B6" s="4" t="s">
        <v>58</v>
      </c>
      <c r="C6" s="10">
        <v>5700</v>
      </c>
      <c r="D6" s="6">
        <v>1100</v>
      </c>
      <c r="E6" s="13">
        <v>5700</v>
      </c>
      <c r="F6" s="129" t="s">
        <v>15</v>
      </c>
      <c r="G6" s="130" t="s">
        <v>15</v>
      </c>
      <c r="H6" s="131" t="s">
        <v>15</v>
      </c>
      <c r="I6" s="130" t="s">
        <v>15</v>
      </c>
      <c r="J6" s="5" t="s">
        <v>16</v>
      </c>
      <c r="K6" s="1" t="s">
        <v>16</v>
      </c>
      <c r="L6" s="15" t="s">
        <v>12</v>
      </c>
      <c r="M6" s="30"/>
    </row>
    <row r="7" spans="1:14" x14ac:dyDescent="0.3">
      <c r="A7" s="5">
        <v>1091</v>
      </c>
      <c r="B7" s="4" t="s">
        <v>65</v>
      </c>
      <c r="C7" s="10">
        <v>2906.24</v>
      </c>
      <c r="D7" s="6">
        <v>1101</v>
      </c>
      <c r="E7" s="13">
        <v>2256.2399999999998</v>
      </c>
      <c r="F7" s="132">
        <v>2</v>
      </c>
      <c r="G7" s="133">
        <v>2</v>
      </c>
      <c r="H7" s="134">
        <v>650</v>
      </c>
      <c r="I7" s="133" t="s">
        <v>15</v>
      </c>
      <c r="J7" s="5" t="s">
        <v>16</v>
      </c>
      <c r="K7" s="1" t="s">
        <v>16</v>
      </c>
      <c r="L7" s="15" t="s">
        <v>12</v>
      </c>
      <c r="M7" s="30"/>
    </row>
    <row r="8" spans="1:14" x14ac:dyDescent="0.3">
      <c r="A8" s="5">
        <v>1094</v>
      </c>
      <c r="B8" s="4" t="s">
        <v>327</v>
      </c>
      <c r="C8" s="10">
        <v>1029</v>
      </c>
      <c r="D8" s="6">
        <v>1102</v>
      </c>
      <c r="E8" s="13">
        <v>1029</v>
      </c>
      <c r="F8" s="132" t="s">
        <v>15</v>
      </c>
      <c r="G8" s="133" t="s">
        <v>15</v>
      </c>
      <c r="H8" s="134" t="s">
        <v>15</v>
      </c>
      <c r="I8" s="133" t="s">
        <v>15</v>
      </c>
      <c r="J8" s="5" t="s">
        <v>16</v>
      </c>
      <c r="K8" s="1" t="s">
        <v>16</v>
      </c>
      <c r="L8" s="15" t="s">
        <v>12</v>
      </c>
      <c r="M8" s="30"/>
    </row>
  </sheetData>
  <conditionalFormatting sqref="A2:M8">
    <cfRule type="expression" dxfId="13" priority="1">
      <formula>$L2="WAIT"</formula>
    </cfRule>
    <cfRule type="expression" dxfId="12" priority="2">
      <formula>$L2="OFF"</formula>
    </cfRule>
    <cfRule type="expression" dxfId="11" priority="3">
      <formula>$L2="OK"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FB9B-09F2-42AF-9B85-2940AF42346E}">
  <sheetPr>
    <tabColor theme="4"/>
  </sheetPr>
  <dimension ref="A1:O148"/>
  <sheetViews>
    <sheetView showGridLines="0" topLeftCell="C1" zoomScale="80" zoomScaleNormal="80" workbookViewId="0">
      <pane ySplit="1" topLeftCell="A2" activePane="bottomLeft" state="frozen"/>
      <selection pane="bottomLeft" activeCell="A21" sqref="A21:C21"/>
    </sheetView>
  </sheetViews>
  <sheetFormatPr defaultRowHeight="16.5" x14ac:dyDescent="0.3"/>
  <cols>
    <col min="1" max="1" width="11.25" style="230" customWidth="1"/>
    <col min="2" max="2" width="36.25" style="4" customWidth="1"/>
    <col min="3" max="3" width="18.75" bestFit="1" customWidth="1"/>
    <col min="4" max="4" width="10.875" style="90" bestFit="1" customWidth="1"/>
    <col min="5" max="5" width="20.875" style="1" bestFit="1" customWidth="1"/>
    <col min="6" max="6" width="11.75" style="78" bestFit="1" customWidth="1"/>
    <col min="7" max="7" width="58.25" style="1" customWidth="1"/>
    <col min="8" max="8" width="50.625" style="85" customWidth="1"/>
    <col min="9" max="9" width="14.125" bestFit="1" customWidth="1"/>
    <col min="10" max="10" width="16.375" bestFit="1" customWidth="1"/>
    <col min="11" max="11" width="22.75" bestFit="1" customWidth="1"/>
    <col min="12" max="12" width="9.125" style="1" bestFit="1" customWidth="1"/>
    <col min="13" max="13" width="9.625" style="1" bestFit="1" customWidth="1"/>
    <col min="14" max="14" width="7.125" style="22" bestFit="1" customWidth="1"/>
    <col min="15" max="15" width="7.625" style="1" bestFit="1" customWidth="1"/>
    <col min="16" max="16" width="13.5" customWidth="1"/>
    <col min="17" max="17" width="25.375" bestFit="1" customWidth="1"/>
    <col min="18" max="18" width="6.75" customWidth="1"/>
  </cols>
  <sheetData>
    <row r="1" spans="1:13" customFormat="1" ht="17.25" thickBot="1" x14ac:dyDescent="0.35">
      <c r="A1" s="236" t="s">
        <v>1</v>
      </c>
      <c r="B1" s="138" t="s">
        <v>0</v>
      </c>
      <c r="C1" s="139" t="s">
        <v>364</v>
      </c>
      <c r="D1" s="140" t="s">
        <v>49</v>
      </c>
      <c r="E1" s="65" t="s">
        <v>365</v>
      </c>
      <c r="F1" s="79" t="s">
        <v>372</v>
      </c>
      <c r="G1" s="65" t="s">
        <v>373</v>
      </c>
      <c r="H1" s="83" t="s">
        <v>369</v>
      </c>
      <c r="I1" s="74" t="s">
        <v>370</v>
      </c>
      <c r="J1" s="64" t="s">
        <v>77</v>
      </c>
      <c r="K1" s="77" t="s">
        <v>31</v>
      </c>
      <c r="L1" s="64" t="s">
        <v>7</v>
      </c>
      <c r="M1" s="64" t="s">
        <v>6</v>
      </c>
    </row>
    <row r="2" spans="1:13" customFormat="1" x14ac:dyDescent="0.3">
      <c r="A2" s="228">
        <v>1</v>
      </c>
      <c r="B2" s="218" t="s">
        <v>742</v>
      </c>
      <c r="C2" s="154">
        <v>1010</v>
      </c>
      <c r="D2" s="141">
        <v>1090</v>
      </c>
      <c r="E2" s="67">
        <v>860</v>
      </c>
      <c r="F2" s="80">
        <v>6102</v>
      </c>
      <c r="G2" s="67" t="str">
        <f>VLOOKUP(F2,CFOP[],2,FALSE)</f>
        <v xml:space="preserve">Venda de mercadoria adquirida ou recebida de terceiros </v>
      </c>
      <c r="H2" s="84" t="s">
        <v>729</v>
      </c>
      <c r="I2" s="75">
        <v>45951</v>
      </c>
      <c r="J2" s="66" t="s">
        <v>57</v>
      </c>
      <c r="K2" s="70"/>
      <c r="L2" s="66"/>
      <c r="M2" s="66"/>
    </row>
    <row r="3" spans="1:13" customFormat="1" x14ac:dyDescent="0.3">
      <c r="A3" s="228">
        <v>444</v>
      </c>
      <c r="B3" s="218" t="s">
        <v>743</v>
      </c>
      <c r="C3" s="154">
        <v>6873.6</v>
      </c>
      <c r="D3" s="142">
        <v>1091</v>
      </c>
      <c r="E3" s="67">
        <v>6873.6</v>
      </c>
      <c r="F3" s="81">
        <v>6102</v>
      </c>
      <c r="G3" s="67" t="str">
        <f>VLOOKUP(F3,CFOP[],2,FALSE)</f>
        <v xml:space="preserve">Venda de mercadoria adquirida ou recebida de terceiros </v>
      </c>
      <c r="H3" s="86" t="s">
        <v>730</v>
      </c>
      <c r="I3" s="75">
        <v>45951</v>
      </c>
      <c r="J3" s="66" t="s">
        <v>359</v>
      </c>
      <c r="K3" s="70"/>
      <c r="L3" s="66"/>
      <c r="M3" s="66"/>
    </row>
    <row r="4" spans="1:13" customFormat="1" ht="17.25" customHeight="1" x14ac:dyDescent="0.3">
      <c r="A4" s="228">
        <v>443</v>
      </c>
      <c r="B4" s="218" t="s">
        <v>744</v>
      </c>
      <c r="C4" s="154">
        <v>4510.8</v>
      </c>
      <c r="D4" s="141">
        <v>1092</v>
      </c>
      <c r="E4" s="67">
        <v>4510.8</v>
      </c>
      <c r="F4" s="81">
        <v>6102</v>
      </c>
      <c r="G4" s="67" t="str">
        <f>VLOOKUP(F4,CFOP[],2,FALSE)</f>
        <v xml:space="preserve">Venda de mercadoria adquirida ou recebida de terceiros </v>
      </c>
      <c r="H4" s="84" t="s">
        <v>731</v>
      </c>
      <c r="I4" s="75">
        <v>45951</v>
      </c>
      <c r="J4" s="66" t="s">
        <v>359</v>
      </c>
      <c r="K4" s="70"/>
      <c r="L4" s="66"/>
      <c r="M4" s="66"/>
    </row>
    <row r="5" spans="1:13" customFormat="1" x14ac:dyDescent="0.3">
      <c r="A5" s="228">
        <v>1</v>
      </c>
      <c r="B5" s="218" t="s">
        <v>742</v>
      </c>
      <c r="C5" s="154">
        <v>1010</v>
      </c>
      <c r="D5" s="141">
        <v>1093</v>
      </c>
      <c r="E5" s="67">
        <v>1010</v>
      </c>
      <c r="F5" s="81">
        <v>6102</v>
      </c>
      <c r="G5" s="67" t="str">
        <f>VLOOKUP(F5,CFOP[],2,FALSE)</f>
        <v xml:space="preserve">Venda de mercadoria adquirida ou recebida de terceiros </v>
      </c>
      <c r="H5" s="84" t="s">
        <v>732</v>
      </c>
      <c r="I5" s="75">
        <v>45951</v>
      </c>
      <c r="J5" s="66" t="s">
        <v>359</v>
      </c>
      <c r="K5" s="70"/>
      <c r="L5" s="66"/>
      <c r="M5" s="66"/>
    </row>
    <row r="6" spans="1:13" customFormat="1" x14ac:dyDescent="0.3">
      <c r="A6" s="228" t="s">
        <v>15</v>
      </c>
      <c r="B6" s="218" t="s">
        <v>425</v>
      </c>
      <c r="C6" s="154">
        <v>3915</v>
      </c>
      <c r="D6" s="142">
        <v>1094</v>
      </c>
      <c r="E6" s="67">
        <v>3915</v>
      </c>
      <c r="F6" s="81">
        <v>5901</v>
      </c>
      <c r="G6" s="67" t="str">
        <f>VLOOKUP(F6,CFOP[],2,FALSE)</f>
        <v xml:space="preserve">Remessa para industrialização por encomenda </v>
      </c>
      <c r="H6" s="86" t="s">
        <v>733</v>
      </c>
      <c r="I6" s="75">
        <v>45965</v>
      </c>
      <c r="J6" s="66" t="s">
        <v>359</v>
      </c>
      <c r="K6" s="70"/>
      <c r="L6" s="66"/>
      <c r="M6" s="66"/>
    </row>
    <row r="7" spans="1:13" customFormat="1" x14ac:dyDescent="0.3">
      <c r="A7" s="228">
        <v>5</v>
      </c>
      <c r="B7" s="218" t="s">
        <v>745</v>
      </c>
      <c r="C7" s="154">
        <v>24836.25</v>
      </c>
      <c r="D7" s="142">
        <v>1095</v>
      </c>
      <c r="E7" s="67">
        <v>24836.25</v>
      </c>
      <c r="F7" s="81">
        <v>5102</v>
      </c>
      <c r="G7" s="67" t="str">
        <f>VLOOKUP(F7,CFOP[],2,FALSE)</f>
        <v xml:space="preserve">Venda de mercadoria adquirida ou recebida de terceiros </v>
      </c>
      <c r="H7" s="86" t="s">
        <v>734</v>
      </c>
      <c r="I7" s="75">
        <v>45968</v>
      </c>
      <c r="J7" s="66" t="s">
        <v>359</v>
      </c>
      <c r="K7" s="70"/>
      <c r="L7" s="66"/>
      <c r="M7" s="66"/>
    </row>
    <row r="8" spans="1:13" customFormat="1" x14ac:dyDescent="0.3">
      <c r="A8" s="229">
        <v>1087</v>
      </c>
      <c r="B8" s="160" t="s">
        <v>745</v>
      </c>
      <c r="C8" s="155">
        <v>5056.75</v>
      </c>
      <c r="D8" s="143">
        <v>1096</v>
      </c>
      <c r="E8" s="72">
        <v>5056.75</v>
      </c>
      <c r="F8" s="82">
        <v>5102</v>
      </c>
      <c r="G8" s="72" t="str">
        <f>VLOOKUP(F8,CFOP[],2,FALSE)</f>
        <v xml:space="preserve">Venda de mercadoria adquirida ou recebida de terceiros </v>
      </c>
      <c r="H8" s="88" t="s">
        <v>735</v>
      </c>
      <c r="I8" s="76">
        <v>45968</v>
      </c>
      <c r="J8" s="68" t="s">
        <v>359</v>
      </c>
      <c r="K8" s="71"/>
      <c r="L8" s="68"/>
      <c r="M8" s="68"/>
    </row>
    <row r="9" spans="1:13" customFormat="1" x14ac:dyDescent="0.3">
      <c r="A9" s="228">
        <v>1147</v>
      </c>
      <c r="B9" s="218" t="s">
        <v>745</v>
      </c>
      <c r="C9" s="154">
        <v>5056.75</v>
      </c>
      <c r="D9" s="142">
        <v>1097</v>
      </c>
      <c r="E9" s="67">
        <v>5056.75</v>
      </c>
      <c r="F9" s="81">
        <v>5102</v>
      </c>
      <c r="G9" s="72" t="str">
        <f>VLOOKUP(F9,CFOP[],2,FALSE)</f>
        <v xml:space="preserve">Venda de mercadoria adquirida ou recebida de terceiros </v>
      </c>
      <c r="H9" s="86" t="s">
        <v>736</v>
      </c>
      <c r="I9" s="76">
        <v>45980</v>
      </c>
      <c r="J9" s="66" t="s">
        <v>359</v>
      </c>
      <c r="K9" s="87"/>
      <c r="L9" s="66"/>
      <c r="M9" s="66"/>
    </row>
    <row r="10" spans="1:13" customFormat="1" x14ac:dyDescent="0.3">
      <c r="A10" s="228">
        <v>380</v>
      </c>
      <c r="B10" s="218" t="s">
        <v>746</v>
      </c>
      <c r="C10" s="154">
        <v>15070.5</v>
      </c>
      <c r="D10" s="142">
        <v>1098</v>
      </c>
      <c r="E10" s="67">
        <v>13030.5</v>
      </c>
      <c r="F10" s="81">
        <v>5102</v>
      </c>
      <c r="G10" s="72" t="str">
        <f>VLOOKUP(F10,CFOP[],2,FALSE)</f>
        <v xml:space="preserve">Venda de mercadoria adquirida ou recebida de terceiros </v>
      </c>
      <c r="H10" s="86" t="s">
        <v>737</v>
      </c>
      <c r="I10" s="76">
        <v>45986</v>
      </c>
      <c r="J10" s="66" t="s">
        <v>359</v>
      </c>
      <c r="K10" s="87"/>
      <c r="L10" s="66"/>
      <c r="M10" s="66"/>
    </row>
    <row r="11" spans="1:13" customFormat="1" x14ac:dyDescent="0.3">
      <c r="A11" s="228">
        <v>1088</v>
      </c>
      <c r="B11" s="218" t="s">
        <v>503</v>
      </c>
      <c r="C11" s="154">
        <v>1320</v>
      </c>
      <c r="D11" s="141">
        <v>1099</v>
      </c>
      <c r="E11" s="67">
        <v>870</v>
      </c>
      <c r="F11" s="81">
        <v>5102</v>
      </c>
      <c r="G11" s="72" t="str">
        <f>VLOOKUP(F11,CFOP[],2,FALSE)</f>
        <v xml:space="preserve">Venda de mercadoria adquirida ou recebida de terceiros </v>
      </c>
      <c r="H11" s="84" t="s">
        <v>738</v>
      </c>
      <c r="I11" s="76">
        <v>45995</v>
      </c>
      <c r="J11" s="66" t="s">
        <v>359</v>
      </c>
      <c r="K11" s="87"/>
      <c r="L11" s="66"/>
      <c r="M11" s="66"/>
    </row>
    <row r="12" spans="1:13" customFormat="1" x14ac:dyDescent="0.3">
      <c r="A12" s="228">
        <v>1090</v>
      </c>
      <c r="B12" s="218" t="s">
        <v>747</v>
      </c>
      <c r="C12" s="154">
        <v>5700</v>
      </c>
      <c r="D12" s="141">
        <v>1100</v>
      </c>
      <c r="E12" s="67">
        <v>5700</v>
      </c>
      <c r="F12" s="81">
        <v>5102</v>
      </c>
      <c r="G12" s="72" t="str">
        <f>VLOOKUP(F12,CFOP[],2,FALSE)</f>
        <v xml:space="preserve">Venda de mercadoria adquirida ou recebida de terceiros </v>
      </c>
      <c r="H12" s="84" t="s">
        <v>739</v>
      </c>
      <c r="I12" s="76">
        <v>46000</v>
      </c>
      <c r="J12" s="66" t="s">
        <v>359</v>
      </c>
      <c r="K12" s="87"/>
      <c r="L12" s="66"/>
      <c r="M12" s="66"/>
    </row>
    <row r="13" spans="1:13" customFormat="1" x14ac:dyDescent="0.3">
      <c r="A13" s="228">
        <v>1091</v>
      </c>
      <c r="B13" s="218" t="s">
        <v>748</v>
      </c>
      <c r="C13" s="154">
        <v>2906.24</v>
      </c>
      <c r="D13" s="142">
        <v>1101</v>
      </c>
      <c r="E13" s="67">
        <v>2256.2399999999998</v>
      </c>
      <c r="F13" s="81">
        <v>5102</v>
      </c>
      <c r="G13" s="72" t="str">
        <f>VLOOKUP(F13,CFOP[],2,FALSE)</f>
        <v xml:space="preserve">Venda de mercadoria adquirida ou recebida de terceiros </v>
      </c>
      <c r="H13" s="86" t="s">
        <v>740</v>
      </c>
      <c r="I13" s="76">
        <v>46006</v>
      </c>
      <c r="J13" s="66" t="s">
        <v>359</v>
      </c>
      <c r="K13" s="87"/>
      <c r="L13" s="66"/>
      <c r="M13" s="66"/>
    </row>
    <row r="14" spans="1:13" customFormat="1" x14ac:dyDescent="0.3">
      <c r="A14" s="228">
        <v>1094</v>
      </c>
      <c r="B14" s="218" t="s">
        <v>749</v>
      </c>
      <c r="C14" s="154">
        <v>1029</v>
      </c>
      <c r="D14" s="142">
        <v>1102</v>
      </c>
      <c r="E14" s="67">
        <v>1029</v>
      </c>
      <c r="F14" s="82">
        <v>5102</v>
      </c>
      <c r="G14" s="72" t="str">
        <f>VLOOKUP(F14,CFOP[],2,FALSE)</f>
        <v xml:space="preserve">Venda de mercadoria adquirida ou recebida de terceiros </v>
      </c>
      <c r="H14" s="86" t="s">
        <v>741</v>
      </c>
      <c r="I14" s="76">
        <v>46051</v>
      </c>
      <c r="J14" s="66" t="s">
        <v>359</v>
      </c>
      <c r="K14" s="87"/>
      <c r="L14" s="66"/>
      <c r="M14" s="66"/>
    </row>
    <row r="15" spans="1:13" customFormat="1" x14ac:dyDescent="0.3">
      <c r="A15" s="229">
        <v>1101</v>
      </c>
      <c r="B15" s="160" t="s">
        <v>759</v>
      </c>
      <c r="C15" s="155">
        <v>2415.2800000000002</v>
      </c>
      <c r="D15" s="143">
        <v>1103</v>
      </c>
      <c r="E15" s="72">
        <v>1885.28</v>
      </c>
      <c r="F15" s="82">
        <v>5102</v>
      </c>
      <c r="G15" s="72" t="str">
        <f>VLOOKUP(F15,CFOP[],2,FALSE)</f>
        <v xml:space="preserve">Venda de mercadoria adquirida ou recebida de terceiros </v>
      </c>
      <c r="H15" s="88" t="s">
        <v>760</v>
      </c>
      <c r="I15" s="76">
        <v>46064</v>
      </c>
      <c r="J15" s="68" t="s">
        <v>359</v>
      </c>
      <c r="K15" s="73"/>
      <c r="L15" s="68"/>
      <c r="M15" s="68"/>
    </row>
    <row r="16" spans="1:13" customFormat="1" x14ac:dyDescent="0.3">
      <c r="A16" s="229">
        <v>1105</v>
      </c>
      <c r="B16" s="160" t="s">
        <v>961</v>
      </c>
      <c r="C16" s="155">
        <v>1515.85</v>
      </c>
      <c r="D16" s="143">
        <v>1104</v>
      </c>
      <c r="E16" s="72">
        <v>1515.85</v>
      </c>
      <c r="F16" s="82">
        <v>6102</v>
      </c>
      <c r="G16" s="72" t="str">
        <f>VLOOKUP(F16,CFOP[],2,FALSE)</f>
        <v xml:space="preserve">Venda de mercadoria adquirida ou recebida de terceiros </v>
      </c>
      <c r="H16" s="88" t="s">
        <v>963</v>
      </c>
      <c r="I16" s="76">
        <v>46084</v>
      </c>
      <c r="J16" s="68" t="s">
        <v>359</v>
      </c>
      <c r="K16" s="73"/>
      <c r="L16" s="68"/>
      <c r="M16" s="68"/>
    </row>
    <row r="17" spans="1:13" customFormat="1" x14ac:dyDescent="0.3">
      <c r="A17" s="229">
        <v>1108</v>
      </c>
      <c r="B17" s="160" t="s">
        <v>1039</v>
      </c>
      <c r="C17" s="155">
        <v>17184.47</v>
      </c>
      <c r="D17" s="143">
        <v>1105</v>
      </c>
      <c r="E17" s="72">
        <v>15534.47</v>
      </c>
      <c r="F17" s="82">
        <v>6102</v>
      </c>
      <c r="G17" s="72" t="str">
        <f>VLOOKUP(F17,CFOP[],2,FALSE)</f>
        <v xml:space="preserve">Venda de mercadoria adquirida ou recebida de terceiros </v>
      </c>
      <c r="H17" s="88" t="s">
        <v>1043</v>
      </c>
      <c r="I17" s="76">
        <v>46090</v>
      </c>
      <c r="J17" s="68" t="s">
        <v>359</v>
      </c>
      <c r="K17" s="73"/>
      <c r="L17" s="68"/>
      <c r="M17" s="68"/>
    </row>
    <row r="18" spans="1:13" customFormat="1" x14ac:dyDescent="0.3">
      <c r="A18" s="229">
        <v>1107</v>
      </c>
      <c r="B18" s="160" t="s">
        <v>1080</v>
      </c>
      <c r="C18" s="260">
        <v>7567.8</v>
      </c>
      <c r="D18" s="143">
        <v>1106</v>
      </c>
      <c r="E18" s="72">
        <v>7567.8</v>
      </c>
      <c r="F18" s="82">
        <v>5102</v>
      </c>
      <c r="G18" s="72" t="str">
        <f>VLOOKUP(F18,CFOP[],2,FALSE)</f>
        <v xml:space="preserve">Venda de mercadoria adquirida ou recebida de terceiros </v>
      </c>
      <c r="H18" s="88" t="s">
        <v>1079</v>
      </c>
      <c r="I18" s="76">
        <v>46097</v>
      </c>
      <c r="J18" s="68" t="s">
        <v>359</v>
      </c>
      <c r="K18" s="73"/>
      <c r="L18" s="68"/>
      <c r="M18" s="68"/>
    </row>
    <row r="19" spans="1:13" customFormat="1" x14ac:dyDescent="0.3">
      <c r="A19" s="229">
        <v>1113</v>
      </c>
      <c r="B19" s="160" t="s">
        <v>1297</v>
      </c>
      <c r="C19" s="260">
        <v>3612</v>
      </c>
      <c r="D19" s="143">
        <v>1107</v>
      </c>
      <c r="E19" s="72">
        <v>3612</v>
      </c>
      <c r="F19" s="82">
        <v>5102</v>
      </c>
      <c r="G19" s="72" t="str">
        <f>VLOOKUP(F19,CFOP[],2,FALSE)</f>
        <v xml:space="preserve">Venda de mercadoria adquirida ou recebida de terceiros </v>
      </c>
      <c r="H19" s="88" t="s">
        <v>1298</v>
      </c>
      <c r="I19" s="76">
        <v>46108</v>
      </c>
      <c r="J19" s="68" t="s">
        <v>359</v>
      </c>
      <c r="K19" s="73"/>
      <c r="L19" s="68"/>
      <c r="M19" s="68"/>
    </row>
    <row r="20" spans="1:13" customFormat="1" x14ac:dyDescent="0.3">
      <c r="A20" s="229">
        <v>1116</v>
      </c>
      <c r="B20" s="160" t="s">
        <v>1505</v>
      </c>
      <c r="C20" s="260">
        <v>1037.4000000000001</v>
      </c>
      <c r="D20" s="143">
        <v>1108</v>
      </c>
      <c r="E20" s="72">
        <v>1037.4000000000001</v>
      </c>
      <c r="F20" s="82">
        <v>5102</v>
      </c>
      <c r="G20" s="72" t="str">
        <f>VLOOKUP(F20,CFOP[],2,FALSE)</f>
        <v xml:space="preserve">Venda de mercadoria adquirida ou recebida de terceiros </v>
      </c>
      <c r="H20" s="88" t="s">
        <v>1504</v>
      </c>
      <c r="I20" s="76">
        <v>46119</v>
      </c>
      <c r="J20" s="68" t="s">
        <v>359</v>
      </c>
      <c r="K20" s="73"/>
      <c r="L20" s="68"/>
      <c r="M20" s="68"/>
    </row>
    <row r="21" spans="1:13" customFormat="1" x14ac:dyDescent="0.3">
      <c r="A21" s="229">
        <v>1112</v>
      </c>
      <c r="B21" s="160" t="s">
        <v>1555</v>
      </c>
      <c r="C21" s="260">
        <v>39151.51</v>
      </c>
      <c r="D21" s="143">
        <v>1109</v>
      </c>
      <c r="E21" s="72">
        <v>36401.51</v>
      </c>
      <c r="F21" s="82">
        <v>5102</v>
      </c>
      <c r="G21" s="72" t="str">
        <f>VLOOKUP(F21,CFOP[],2,FALSE)</f>
        <v xml:space="preserve">Venda de mercadoria adquirida ou recebida de terceiros </v>
      </c>
      <c r="H21" s="88" t="s">
        <v>1558</v>
      </c>
      <c r="I21" s="76">
        <v>46126</v>
      </c>
      <c r="J21" s="68" t="s">
        <v>359</v>
      </c>
      <c r="K21" s="73"/>
      <c r="L21" s="68"/>
      <c r="M21" s="68"/>
    </row>
    <row r="22" spans="1:13" customFormat="1" x14ac:dyDescent="0.3">
      <c r="A22" s="230"/>
      <c r="B22" s="4"/>
      <c r="C22" s="95"/>
      <c r="D22" s="90"/>
      <c r="E22" s="95"/>
      <c r="F22" s="79"/>
      <c r="G22" s="95"/>
      <c r="H22" s="85"/>
      <c r="I22" s="22"/>
      <c r="J22" s="1"/>
      <c r="K22" s="1"/>
      <c r="L22" s="1"/>
      <c r="M22" s="1"/>
    </row>
    <row r="23" spans="1:13" customFormat="1" x14ac:dyDescent="0.3">
      <c r="A23" s="230"/>
      <c r="B23" s="4"/>
      <c r="C23" s="95"/>
      <c r="D23" s="90"/>
      <c r="E23" s="95"/>
      <c r="F23" s="79"/>
      <c r="G23" s="95"/>
      <c r="H23" s="85"/>
      <c r="I23" s="22"/>
      <c r="J23" s="1"/>
      <c r="K23" s="1"/>
      <c r="L23" s="1"/>
      <c r="M23" s="1"/>
    </row>
    <row r="24" spans="1:13" customFormat="1" x14ac:dyDescent="0.3">
      <c r="A24" s="230"/>
      <c r="B24" s="4"/>
      <c r="C24" s="95"/>
      <c r="D24" s="90"/>
      <c r="E24" s="95"/>
      <c r="F24" s="79"/>
      <c r="G24" s="95"/>
      <c r="H24" s="85"/>
      <c r="I24" s="22"/>
      <c r="J24" s="1"/>
      <c r="K24" s="1"/>
      <c r="L24" s="1"/>
      <c r="M24" s="1"/>
    </row>
    <row r="25" spans="1:13" customFormat="1" x14ac:dyDescent="0.3">
      <c r="A25" s="230"/>
      <c r="B25" s="4"/>
      <c r="C25" s="95"/>
      <c r="D25" s="90"/>
      <c r="E25" s="95"/>
      <c r="F25" s="79"/>
      <c r="G25" s="95"/>
      <c r="H25" s="85"/>
      <c r="I25" s="22"/>
      <c r="J25" s="1"/>
      <c r="K25" s="1"/>
      <c r="L25" s="1"/>
      <c r="M25" s="1"/>
    </row>
    <row r="26" spans="1:13" customFormat="1" x14ac:dyDescent="0.3">
      <c r="A26" s="230"/>
      <c r="B26" s="4"/>
      <c r="C26" s="95"/>
      <c r="D26" s="90"/>
      <c r="E26" s="95"/>
      <c r="F26" s="79"/>
      <c r="G26" s="95"/>
      <c r="H26" s="85"/>
      <c r="I26" s="22"/>
      <c r="J26" s="1"/>
      <c r="K26" s="1"/>
      <c r="L26" s="1"/>
      <c r="M26" s="1"/>
    </row>
    <row r="27" spans="1:13" customFormat="1" x14ac:dyDescent="0.3">
      <c r="A27" s="230"/>
      <c r="B27" s="4"/>
      <c r="C27" s="95"/>
      <c r="D27" s="90"/>
      <c r="E27" s="95"/>
      <c r="F27" s="79"/>
      <c r="G27" s="95"/>
      <c r="H27" s="85"/>
      <c r="I27" s="22"/>
      <c r="J27" s="1"/>
      <c r="K27" s="1"/>
      <c r="L27" s="1"/>
      <c r="M27" s="1"/>
    </row>
    <row r="28" spans="1:13" customFormat="1" x14ac:dyDescent="0.3">
      <c r="A28" s="230"/>
      <c r="B28" s="4"/>
      <c r="C28" s="95"/>
      <c r="D28" s="90"/>
      <c r="E28" s="95"/>
      <c r="F28" s="79"/>
      <c r="G28" s="95"/>
      <c r="H28" s="85"/>
      <c r="I28" s="22"/>
      <c r="J28" s="1"/>
      <c r="K28" s="1"/>
      <c r="L28" s="1"/>
      <c r="M28" s="1"/>
    </row>
    <row r="29" spans="1:13" customFormat="1" x14ac:dyDescent="0.3">
      <c r="A29" s="230"/>
      <c r="B29" s="4"/>
      <c r="C29" s="95"/>
      <c r="D29" s="90"/>
      <c r="E29" s="95"/>
      <c r="F29" s="79"/>
      <c r="G29" s="95"/>
      <c r="H29" s="85"/>
      <c r="I29" s="22"/>
      <c r="J29" s="1"/>
      <c r="K29" s="1"/>
      <c r="L29" s="1"/>
      <c r="M29" s="1"/>
    </row>
    <row r="30" spans="1:13" customFormat="1" x14ac:dyDescent="0.3">
      <c r="A30" s="230"/>
      <c r="B30" s="4"/>
      <c r="C30" s="95"/>
      <c r="D30" s="90"/>
      <c r="E30" s="95"/>
      <c r="F30" s="79"/>
      <c r="G30" s="95"/>
      <c r="H30" s="85"/>
      <c r="I30" s="22"/>
      <c r="J30" s="1"/>
      <c r="K30" s="1"/>
      <c r="L30" s="1"/>
      <c r="M30" s="1"/>
    </row>
    <row r="31" spans="1:13" customFormat="1" x14ac:dyDescent="0.3">
      <c r="A31" s="230"/>
      <c r="B31" s="4"/>
      <c r="C31" s="95"/>
      <c r="D31" s="90"/>
      <c r="E31" s="95"/>
      <c r="F31" s="79"/>
      <c r="G31" s="95"/>
      <c r="H31" s="85"/>
      <c r="I31" s="22"/>
      <c r="J31" s="1"/>
      <c r="K31" s="1"/>
      <c r="L31" s="1"/>
      <c r="M31" s="1"/>
    </row>
    <row r="32" spans="1:13" customFormat="1" x14ac:dyDescent="0.3">
      <c r="A32" s="230"/>
      <c r="B32" s="4"/>
      <c r="C32" s="95"/>
      <c r="D32" s="90"/>
      <c r="E32" s="95"/>
      <c r="F32" s="79"/>
      <c r="G32" s="95"/>
      <c r="H32" s="85"/>
      <c r="I32" s="22"/>
      <c r="J32" s="1"/>
      <c r="K32" s="1"/>
      <c r="L32" s="1"/>
      <c r="M32" s="1"/>
    </row>
    <row r="33" spans="3:15" x14ac:dyDescent="0.3">
      <c r="C33" s="95"/>
      <c r="E33" s="95"/>
      <c r="F33" s="79"/>
      <c r="G33" s="95"/>
      <c r="I33" s="22"/>
      <c r="J33" s="1"/>
      <c r="K33" s="1"/>
      <c r="N33"/>
      <c r="O33"/>
    </row>
    <row r="34" spans="3:15" x14ac:dyDescent="0.3">
      <c r="C34" s="95"/>
      <c r="E34" s="95"/>
      <c r="F34" s="79"/>
      <c r="G34" s="95"/>
      <c r="I34" s="22"/>
      <c r="J34" s="1"/>
      <c r="K34" s="1"/>
      <c r="N34"/>
      <c r="O34"/>
    </row>
    <row r="35" spans="3:15" x14ac:dyDescent="0.3">
      <c r="C35" s="95"/>
      <c r="E35" s="95"/>
      <c r="F35" s="79"/>
      <c r="G35" s="95"/>
      <c r="I35" s="22"/>
      <c r="J35" s="1"/>
      <c r="K35" s="1"/>
      <c r="N35"/>
      <c r="O35"/>
    </row>
    <row r="36" spans="3:15" x14ac:dyDescent="0.3">
      <c r="C36" s="95"/>
      <c r="E36" s="95"/>
      <c r="F36" s="79"/>
      <c r="G36" s="95"/>
      <c r="I36" s="22"/>
      <c r="J36" s="1"/>
      <c r="K36" s="1"/>
      <c r="N36"/>
      <c r="O36"/>
    </row>
    <row r="37" spans="3:15" x14ac:dyDescent="0.3">
      <c r="C37" s="95"/>
      <c r="E37" s="95"/>
      <c r="F37" s="79"/>
      <c r="G37" s="95"/>
      <c r="I37" s="22"/>
      <c r="J37" s="1"/>
      <c r="K37" s="1"/>
      <c r="N37"/>
      <c r="O37"/>
    </row>
    <row r="38" spans="3:15" x14ac:dyDescent="0.3">
      <c r="C38" s="95"/>
      <c r="E38" s="95"/>
      <c r="F38" s="79"/>
      <c r="G38" s="95"/>
      <c r="I38" s="22"/>
      <c r="J38" s="1"/>
      <c r="K38" s="1"/>
      <c r="N38"/>
      <c r="O38"/>
    </row>
    <row r="39" spans="3:15" x14ac:dyDescent="0.3">
      <c r="C39" s="95"/>
      <c r="E39" s="95"/>
      <c r="F39" s="79"/>
      <c r="G39" s="95"/>
      <c r="I39" s="22"/>
      <c r="J39" s="1"/>
      <c r="K39" s="1"/>
      <c r="N39"/>
      <c r="O39"/>
    </row>
    <row r="40" spans="3:15" x14ac:dyDescent="0.3">
      <c r="C40" s="95"/>
      <c r="E40" s="95"/>
      <c r="F40" s="79"/>
      <c r="G40" s="95"/>
      <c r="I40" s="22"/>
      <c r="J40" s="1"/>
      <c r="K40" s="1"/>
      <c r="N40"/>
      <c r="O40"/>
    </row>
    <row r="41" spans="3:15" x14ac:dyDescent="0.3">
      <c r="C41" s="95"/>
      <c r="E41" s="95"/>
      <c r="F41" s="79"/>
      <c r="G41" s="95"/>
      <c r="I41" s="22"/>
      <c r="J41" s="1"/>
      <c r="K41" s="1"/>
      <c r="N41"/>
      <c r="O41"/>
    </row>
    <row r="42" spans="3:15" x14ac:dyDescent="0.3">
      <c r="C42" s="95"/>
      <c r="E42" s="95"/>
      <c r="F42" s="79"/>
      <c r="G42" s="95"/>
      <c r="I42" s="22"/>
      <c r="J42" s="1"/>
      <c r="K42" s="1"/>
      <c r="N42"/>
      <c r="O42"/>
    </row>
    <row r="43" spans="3:15" x14ac:dyDescent="0.3">
      <c r="C43" s="95"/>
      <c r="D43" s="1"/>
      <c r="E43" s="95"/>
      <c r="F43" s="79"/>
      <c r="G43" s="95"/>
      <c r="H43" s="111"/>
      <c r="I43" s="22"/>
      <c r="J43" s="1"/>
      <c r="K43" s="1"/>
      <c r="N43"/>
      <c r="O43"/>
    </row>
    <row r="44" spans="3:15" x14ac:dyDescent="0.3">
      <c r="C44" s="95"/>
      <c r="E44" s="95"/>
      <c r="F44" s="79"/>
      <c r="G44" s="95"/>
      <c r="I44" s="22"/>
      <c r="J44" s="1"/>
      <c r="K44" s="1"/>
      <c r="N44"/>
      <c r="O44"/>
    </row>
    <row r="45" spans="3:15" x14ac:dyDescent="0.3">
      <c r="C45" s="95"/>
      <c r="D45" s="1"/>
      <c r="E45" s="95"/>
      <c r="F45" s="79"/>
      <c r="G45" s="95"/>
      <c r="H45" s="111"/>
      <c r="I45" s="22"/>
      <c r="J45" s="1"/>
      <c r="K45" s="1"/>
      <c r="N45"/>
      <c r="O45"/>
    </row>
    <row r="46" spans="3:15" x14ac:dyDescent="0.3">
      <c r="C46" s="95"/>
      <c r="D46" s="1"/>
      <c r="E46" s="95"/>
      <c r="F46" s="79"/>
      <c r="G46" s="95"/>
      <c r="H46" s="111"/>
      <c r="I46" s="22"/>
      <c r="J46" s="1"/>
      <c r="K46" s="1"/>
      <c r="N46"/>
      <c r="O46"/>
    </row>
    <row r="47" spans="3:15" x14ac:dyDescent="0.3">
      <c r="C47" s="95"/>
      <c r="E47" s="95"/>
      <c r="F47" s="79"/>
      <c r="G47" s="95"/>
      <c r="I47" s="22"/>
      <c r="J47" s="1"/>
      <c r="K47" s="1"/>
      <c r="N47"/>
      <c r="O47"/>
    </row>
    <row r="48" spans="3:15" x14ac:dyDescent="0.3">
      <c r="C48" s="95"/>
      <c r="E48" s="95"/>
      <c r="F48" s="79"/>
      <c r="G48" s="95"/>
      <c r="I48" s="22"/>
      <c r="J48" s="1"/>
      <c r="K48" s="1"/>
      <c r="N48"/>
      <c r="O48"/>
    </row>
    <row r="49" spans="3:15" x14ac:dyDescent="0.3">
      <c r="C49" s="95"/>
      <c r="D49" s="1"/>
      <c r="E49" s="95"/>
      <c r="F49" s="79"/>
      <c r="G49" s="95"/>
      <c r="H49" s="111"/>
      <c r="I49" s="22"/>
      <c r="J49" s="1"/>
      <c r="K49" s="1"/>
      <c r="N49"/>
      <c r="O49"/>
    </row>
    <row r="50" spans="3:15" x14ac:dyDescent="0.3">
      <c r="C50" s="95"/>
      <c r="E50" s="95"/>
      <c r="F50" s="79"/>
      <c r="G50" s="95"/>
      <c r="I50" s="22"/>
      <c r="J50" s="1"/>
      <c r="K50" s="1"/>
      <c r="N50"/>
      <c r="O50"/>
    </row>
    <row r="51" spans="3:15" x14ac:dyDescent="0.3">
      <c r="C51" s="95"/>
      <c r="E51" s="95"/>
      <c r="F51" s="79"/>
      <c r="G51" s="95"/>
      <c r="I51" s="22"/>
      <c r="J51" s="1"/>
      <c r="K51" s="1"/>
      <c r="N51"/>
      <c r="O51"/>
    </row>
    <row r="52" spans="3:15" x14ac:dyDescent="0.3">
      <c r="C52" s="95"/>
      <c r="E52" s="95"/>
      <c r="F52" s="79"/>
      <c r="G52" s="95"/>
      <c r="I52" s="22"/>
      <c r="J52" s="1"/>
      <c r="K52" s="1"/>
      <c r="N52"/>
      <c r="O52"/>
    </row>
    <row r="53" spans="3:15" x14ac:dyDescent="0.3">
      <c r="C53" s="95"/>
      <c r="E53" s="95"/>
      <c r="F53" s="79"/>
      <c r="G53" s="95"/>
      <c r="I53" s="22"/>
      <c r="J53" s="1"/>
      <c r="K53" s="1"/>
      <c r="N53"/>
      <c r="O53"/>
    </row>
    <row r="54" spans="3:15" x14ac:dyDescent="0.3">
      <c r="C54" s="95"/>
      <c r="D54" s="1"/>
      <c r="E54" s="95"/>
      <c r="F54" s="79"/>
      <c r="G54" s="95"/>
      <c r="H54" s="111"/>
      <c r="I54" s="22"/>
      <c r="J54" s="1"/>
      <c r="K54" s="1"/>
      <c r="N54"/>
      <c r="O54"/>
    </row>
    <row r="55" spans="3:15" x14ac:dyDescent="0.3">
      <c r="C55" s="95"/>
      <c r="E55" s="95"/>
      <c r="F55" s="79"/>
      <c r="G55" s="95"/>
      <c r="I55" s="22"/>
      <c r="J55" s="1"/>
      <c r="K55" s="1"/>
      <c r="N55"/>
      <c r="O55"/>
    </row>
    <row r="56" spans="3:15" x14ac:dyDescent="0.3">
      <c r="C56" s="95"/>
      <c r="E56" s="95"/>
      <c r="F56" s="79"/>
      <c r="G56" s="95"/>
      <c r="I56" s="22"/>
      <c r="J56" s="1"/>
      <c r="K56" s="1"/>
      <c r="N56"/>
      <c r="O56"/>
    </row>
    <row r="57" spans="3:15" x14ac:dyDescent="0.3">
      <c r="C57" s="95"/>
      <c r="E57" s="95"/>
      <c r="F57" s="79"/>
      <c r="G57" s="95"/>
      <c r="I57" s="22"/>
      <c r="J57" s="1"/>
      <c r="K57" s="1"/>
      <c r="N57"/>
      <c r="O57"/>
    </row>
    <row r="58" spans="3:15" x14ac:dyDescent="0.3">
      <c r="C58" s="95"/>
      <c r="E58" s="95"/>
      <c r="F58" s="79"/>
      <c r="G58" s="95"/>
      <c r="I58" s="22"/>
      <c r="J58" s="1"/>
      <c r="K58" s="1"/>
      <c r="N58"/>
      <c r="O58"/>
    </row>
    <row r="59" spans="3:15" x14ac:dyDescent="0.3">
      <c r="C59" s="95"/>
      <c r="E59" s="95"/>
      <c r="F59" s="79"/>
      <c r="G59" s="95"/>
      <c r="I59" s="22"/>
      <c r="J59" s="1"/>
      <c r="K59" s="1"/>
      <c r="N59"/>
      <c r="O59"/>
    </row>
    <row r="60" spans="3:15" x14ac:dyDescent="0.3">
      <c r="C60" s="95"/>
      <c r="E60" s="95"/>
      <c r="F60" s="79"/>
      <c r="G60" s="95"/>
      <c r="I60" s="22"/>
      <c r="J60" s="1"/>
      <c r="K60" s="1"/>
      <c r="N60"/>
      <c r="O60"/>
    </row>
    <row r="61" spans="3:15" x14ac:dyDescent="0.3">
      <c r="C61" s="95"/>
      <c r="D61" s="1"/>
      <c r="E61" s="95"/>
      <c r="F61" s="79"/>
      <c r="G61" s="95"/>
      <c r="H61" s="111"/>
      <c r="I61" s="22"/>
      <c r="J61" s="1"/>
      <c r="K61" s="1"/>
      <c r="N61"/>
      <c r="O61"/>
    </row>
    <row r="62" spans="3:15" x14ac:dyDescent="0.3">
      <c r="C62" s="95"/>
      <c r="D62" s="1"/>
      <c r="E62" s="95"/>
      <c r="F62" s="79"/>
      <c r="G62" s="95"/>
      <c r="H62" s="111"/>
      <c r="I62" s="22"/>
      <c r="J62" s="1"/>
      <c r="K62" s="1"/>
      <c r="N62"/>
      <c r="O62"/>
    </row>
    <row r="63" spans="3:15" x14ac:dyDescent="0.3">
      <c r="C63" s="95"/>
      <c r="D63" s="1"/>
      <c r="E63" s="95"/>
      <c r="F63" s="79"/>
      <c r="G63" s="95"/>
      <c r="H63" s="111"/>
      <c r="I63" s="22"/>
      <c r="J63" s="1"/>
      <c r="K63" s="1"/>
      <c r="N63"/>
      <c r="O63"/>
    </row>
    <row r="64" spans="3:15" x14ac:dyDescent="0.3">
      <c r="C64" s="95"/>
      <c r="E64" s="95"/>
      <c r="F64" s="79"/>
      <c r="G64" s="95"/>
      <c r="I64" s="22"/>
      <c r="J64" s="1"/>
      <c r="K64" s="1"/>
      <c r="N64"/>
      <c r="O64"/>
    </row>
    <row r="65" spans="3:15" x14ac:dyDescent="0.3">
      <c r="C65" s="95"/>
      <c r="E65" s="95"/>
      <c r="F65" s="79"/>
      <c r="G65" s="95"/>
      <c r="I65" s="22"/>
      <c r="J65" s="1"/>
      <c r="K65" s="1"/>
      <c r="N65"/>
      <c r="O65"/>
    </row>
    <row r="66" spans="3:15" x14ac:dyDescent="0.3">
      <c r="C66" s="95"/>
      <c r="E66" s="95"/>
      <c r="F66" s="79"/>
      <c r="G66" s="95"/>
      <c r="I66" s="22"/>
      <c r="J66" s="1"/>
      <c r="K66" s="1"/>
      <c r="N66"/>
      <c r="O66"/>
    </row>
    <row r="67" spans="3:15" x14ac:dyDescent="0.3">
      <c r="C67" s="95"/>
      <c r="E67" s="95"/>
      <c r="F67" s="79"/>
      <c r="G67" s="95"/>
      <c r="I67" s="22"/>
      <c r="J67" s="1"/>
      <c r="K67" s="1"/>
      <c r="N67"/>
      <c r="O67"/>
    </row>
    <row r="68" spans="3:15" x14ac:dyDescent="0.3">
      <c r="C68" s="95"/>
      <c r="E68" s="95"/>
      <c r="F68" s="79"/>
      <c r="G68" s="95"/>
      <c r="I68" s="22"/>
      <c r="J68" s="1"/>
      <c r="K68" s="1"/>
      <c r="N68"/>
      <c r="O68"/>
    </row>
    <row r="69" spans="3:15" x14ac:dyDescent="0.3">
      <c r="C69" s="95"/>
      <c r="E69" s="95"/>
      <c r="F69" s="79"/>
      <c r="G69" s="95"/>
      <c r="I69" s="22"/>
      <c r="J69" s="1"/>
      <c r="K69" s="1"/>
      <c r="N69"/>
      <c r="O69"/>
    </row>
    <row r="70" spans="3:15" x14ac:dyDescent="0.3">
      <c r="C70" s="95"/>
      <c r="D70" s="1"/>
      <c r="E70" s="95"/>
      <c r="F70" s="79"/>
      <c r="G70" s="95"/>
      <c r="H70" s="111"/>
      <c r="I70" s="22"/>
      <c r="J70" s="1"/>
      <c r="K70" s="1"/>
      <c r="N70"/>
      <c r="O70"/>
    </row>
    <row r="71" spans="3:15" x14ac:dyDescent="0.3">
      <c r="C71" s="95"/>
      <c r="E71" s="95"/>
      <c r="F71" s="79"/>
      <c r="G71" s="95"/>
      <c r="I71" s="22"/>
      <c r="J71" s="1"/>
      <c r="K71" s="1"/>
      <c r="N71"/>
      <c r="O71"/>
    </row>
    <row r="72" spans="3:15" x14ac:dyDescent="0.3">
      <c r="C72" s="95"/>
      <c r="E72" s="95"/>
      <c r="F72" s="79"/>
      <c r="G72" s="95"/>
      <c r="I72" s="22"/>
      <c r="J72" s="1"/>
      <c r="K72" s="1"/>
      <c r="N72"/>
      <c r="O72"/>
    </row>
    <row r="73" spans="3:15" x14ac:dyDescent="0.3">
      <c r="C73" s="95"/>
      <c r="E73" s="95"/>
      <c r="F73" s="79"/>
      <c r="G73" s="95"/>
      <c r="I73" s="22"/>
      <c r="J73" s="1"/>
      <c r="K73" s="1"/>
      <c r="N73"/>
      <c r="O73"/>
    </row>
    <row r="74" spans="3:15" x14ac:dyDescent="0.3">
      <c r="C74" s="95"/>
      <c r="E74" s="95"/>
      <c r="F74" s="79"/>
      <c r="G74" s="95"/>
      <c r="I74" s="22"/>
      <c r="J74" s="1"/>
      <c r="K74" s="1"/>
      <c r="N74"/>
      <c r="O74"/>
    </row>
    <row r="75" spans="3:15" x14ac:dyDescent="0.3">
      <c r="C75" s="95"/>
      <c r="E75" s="95"/>
      <c r="F75" s="79"/>
      <c r="G75" s="95"/>
      <c r="I75" s="22"/>
      <c r="J75" s="1"/>
      <c r="K75" s="1"/>
      <c r="N75"/>
      <c r="O75"/>
    </row>
    <row r="76" spans="3:15" x14ac:dyDescent="0.3">
      <c r="C76" s="95"/>
      <c r="E76" s="95"/>
      <c r="F76" s="79"/>
      <c r="G76" s="95"/>
      <c r="I76" s="22"/>
      <c r="J76" s="1"/>
      <c r="K76" s="1"/>
    </row>
    <row r="77" spans="3:15" x14ac:dyDescent="0.3">
      <c r="C77" s="95"/>
      <c r="E77" s="95"/>
      <c r="F77" s="79"/>
      <c r="G77" s="95"/>
      <c r="I77" s="22"/>
      <c r="J77" s="1"/>
      <c r="K77" s="1"/>
    </row>
    <row r="78" spans="3:15" x14ac:dyDescent="0.3">
      <c r="C78" s="95"/>
      <c r="E78" s="95"/>
      <c r="F78" s="79"/>
      <c r="G78" s="95"/>
      <c r="I78" s="22"/>
      <c r="J78" s="1"/>
      <c r="K78" s="1"/>
    </row>
    <row r="79" spans="3:15" x14ac:dyDescent="0.3">
      <c r="C79" s="95"/>
      <c r="E79" s="95"/>
      <c r="F79" s="79"/>
      <c r="G79" s="95"/>
      <c r="I79" s="22"/>
      <c r="J79" s="1"/>
      <c r="K79" s="1"/>
    </row>
    <row r="80" spans="3:15" x14ac:dyDescent="0.3">
      <c r="C80" s="95"/>
      <c r="E80" s="95"/>
      <c r="F80" s="79"/>
      <c r="G80" s="95"/>
      <c r="I80" s="22"/>
      <c r="J80" s="1"/>
      <c r="K80" s="1"/>
    </row>
    <row r="81" spans="3:12" x14ac:dyDescent="0.3">
      <c r="C81" s="95"/>
      <c r="E81" s="95"/>
      <c r="F81" s="79"/>
      <c r="G81" s="95"/>
      <c r="I81" s="22"/>
      <c r="J81" s="1"/>
      <c r="K81" s="1"/>
    </row>
    <row r="82" spans="3:12" x14ac:dyDescent="0.3">
      <c r="C82" s="95"/>
      <c r="D82" s="1"/>
      <c r="E82" s="95"/>
      <c r="F82" s="79"/>
      <c r="G82" s="95"/>
      <c r="H82" s="111"/>
      <c r="I82" s="22"/>
      <c r="J82" s="1"/>
      <c r="K82" s="1"/>
      <c r="L82" s="22"/>
    </row>
    <row r="83" spans="3:12" x14ac:dyDescent="0.3">
      <c r="C83" s="95"/>
      <c r="E83" s="95"/>
      <c r="F83" s="79"/>
      <c r="G83" s="95"/>
      <c r="I83" s="22"/>
      <c r="J83" s="1"/>
      <c r="K83" s="1"/>
    </row>
    <row r="84" spans="3:12" x14ac:dyDescent="0.3">
      <c r="C84" s="95"/>
      <c r="E84" s="95"/>
      <c r="F84" s="79"/>
      <c r="G84" s="95"/>
      <c r="I84" s="22"/>
      <c r="J84" s="1"/>
      <c r="K84" s="1"/>
    </row>
    <row r="85" spans="3:12" x14ac:dyDescent="0.3">
      <c r="C85" s="95"/>
      <c r="E85" s="95"/>
      <c r="F85" s="79"/>
      <c r="G85" s="95"/>
      <c r="I85" s="22"/>
      <c r="J85" s="1"/>
      <c r="K85" s="1"/>
    </row>
    <row r="86" spans="3:12" x14ac:dyDescent="0.3">
      <c r="C86" s="95"/>
      <c r="E86" s="95"/>
      <c r="F86" s="79"/>
      <c r="G86" s="95"/>
      <c r="I86" s="22"/>
      <c r="J86" s="1"/>
      <c r="K86" s="1"/>
    </row>
    <row r="87" spans="3:12" x14ac:dyDescent="0.3">
      <c r="C87" s="95"/>
      <c r="E87" s="95"/>
      <c r="F87" s="79"/>
      <c r="G87" s="95"/>
      <c r="I87" s="22"/>
      <c r="J87" s="1"/>
      <c r="K87" s="1"/>
    </row>
    <row r="88" spans="3:12" x14ac:dyDescent="0.3">
      <c r="C88" s="95"/>
      <c r="E88" s="95"/>
      <c r="F88" s="79"/>
      <c r="G88" s="95"/>
      <c r="I88" s="22"/>
      <c r="J88" s="1"/>
      <c r="K88" s="1"/>
    </row>
    <row r="89" spans="3:12" x14ac:dyDescent="0.3">
      <c r="C89" s="95"/>
      <c r="D89" s="1"/>
      <c r="E89" s="95"/>
      <c r="F89" s="79"/>
      <c r="G89" s="95"/>
      <c r="H89" s="111"/>
      <c r="I89" s="22"/>
      <c r="J89" s="1"/>
      <c r="K89" s="1"/>
    </row>
    <row r="90" spans="3:12" x14ac:dyDescent="0.3">
      <c r="C90" s="95"/>
      <c r="E90" s="95"/>
      <c r="F90" s="79"/>
      <c r="G90" s="95"/>
      <c r="I90" s="22"/>
      <c r="J90" s="1"/>
      <c r="K90" s="1"/>
    </row>
    <row r="91" spans="3:12" x14ac:dyDescent="0.3">
      <c r="C91" s="95"/>
      <c r="E91" s="95"/>
      <c r="F91" s="79"/>
      <c r="G91" s="95"/>
      <c r="I91" s="22"/>
      <c r="J91" s="1"/>
      <c r="K91" s="1"/>
    </row>
    <row r="92" spans="3:12" x14ac:dyDescent="0.3">
      <c r="C92" s="95"/>
      <c r="D92" s="1"/>
      <c r="E92" s="95"/>
      <c r="F92" s="79"/>
      <c r="G92" s="95"/>
      <c r="H92" s="111"/>
      <c r="I92" s="22"/>
      <c r="J92" s="1"/>
      <c r="K92" s="1"/>
    </row>
    <row r="93" spans="3:12" x14ac:dyDescent="0.3">
      <c r="C93" s="95"/>
      <c r="E93" s="95"/>
      <c r="F93" s="79"/>
      <c r="G93" s="95"/>
      <c r="I93" s="22"/>
      <c r="J93" s="1"/>
      <c r="K93" s="1"/>
    </row>
    <row r="94" spans="3:12" x14ac:dyDescent="0.3">
      <c r="C94" s="95"/>
      <c r="D94" s="1"/>
      <c r="E94" s="95"/>
      <c r="F94" s="79"/>
      <c r="G94" s="95"/>
      <c r="H94" s="111"/>
      <c r="I94" s="22"/>
      <c r="J94" s="1"/>
      <c r="K94" s="1"/>
    </row>
    <row r="95" spans="3:12" x14ac:dyDescent="0.3">
      <c r="C95" s="95"/>
      <c r="D95" s="1"/>
      <c r="E95" s="95"/>
      <c r="F95" s="79"/>
      <c r="G95" s="95"/>
      <c r="H95" s="111"/>
      <c r="I95" s="22"/>
      <c r="J95" s="1"/>
      <c r="K95" s="1"/>
    </row>
    <row r="96" spans="3:12" x14ac:dyDescent="0.3">
      <c r="C96" s="95"/>
      <c r="E96" s="95"/>
      <c r="F96" s="79"/>
      <c r="G96" s="95"/>
      <c r="I96" s="22"/>
      <c r="J96" s="1"/>
      <c r="K96" s="1"/>
    </row>
    <row r="97" spans="3:11" x14ac:dyDescent="0.3">
      <c r="C97" s="95"/>
      <c r="D97" s="1"/>
      <c r="E97" s="95"/>
      <c r="F97" s="79"/>
      <c r="G97" s="95"/>
      <c r="H97" s="111"/>
      <c r="I97" s="22"/>
      <c r="J97" s="1"/>
      <c r="K97" s="1"/>
    </row>
    <row r="98" spans="3:11" x14ac:dyDescent="0.3">
      <c r="C98" s="95"/>
      <c r="E98" s="95"/>
      <c r="F98" s="79"/>
      <c r="G98" s="95"/>
      <c r="I98" s="22"/>
      <c r="J98" s="1"/>
      <c r="K98" s="1"/>
    </row>
    <row r="99" spans="3:11" x14ac:dyDescent="0.3">
      <c r="C99" s="95"/>
      <c r="D99" s="1"/>
      <c r="E99" s="95"/>
      <c r="F99" s="79"/>
      <c r="G99" s="95"/>
      <c r="H99" s="111"/>
      <c r="I99" s="22"/>
      <c r="J99" s="1"/>
      <c r="K99" s="1"/>
    </row>
    <row r="100" spans="3:11" x14ac:dyDescent="0.3">
      <c r="C100" s="95"/>
      <c r="D100" s="1"/>
      <c r="E100" s="95"/>
      <c r="F100" s="79"/>
      <c r="G100" s="95"/>
      <c r="H100" s="111"/>
      <c r="I100" s="22"/>
      <c r="J100" s="1"/>
      <c r="K100" s="1"/>
    </row>
    <row r="101" spans="3:11" x14ac:dyDescent="0.3">
      <c r="C101" s="95"/>
      <c r="E101" s="95"/>
      <c r="F101" s="79"/>
      <c r="G101" s="95"/>
      <c r="I101" s="22"/>
      <c r="J101" s="1"/>
      <c r="K101" s="1"/>
    </row>
    <row r="102" spans="3:11" x14ac:dyDescent="0.3">
      <c r="C102" s="95"/>
      <c r="E102" s="95"/>
      <c r="F102" s="79"/>
      <c r="G102" s="95"/>
      <c r="I102" s="22"/>
      <c r="J102" s="1"/>
      <c r="K102" s="1"/>
    </row>
    <row r="103" spans="3:11" x14ac:dyDescent="0.3">
      <c r="C103" s="95"/>
      <c r="E103" s="95"/>
      <c r="F103" s="79"/>
      <c r="G103" s="95"/>
      <c r="I103" s="22"/>
      <c r="J103" s="1"/>
      <c r="K103" s="1"/>
    </row>
    <row r="104" spans="3:11" x14ac:dyDescent="0.3">
      <c r="C104" s="95"/>
      <c r="D104" s="1"/>
      <c r="E104" s="95"/>
      <c r="F104" s="79"/>
      <c r="G104" s="95"/>
      <c r="H104" s="111"/>
      <c r="I104" s="22"/>
      <c r="J104" s="1"/>
      <c r="K104" s="1"/>
    </row>
    <row r="105" spans="3:11" x14ac:dyDescent="0.3">
      <c r="C105" s="95"/>
      <c r="D105" s="1"/>
      <c r="E105" s="95"/>
      <c r="F105" s="79"/>
      <c r="G105" s="95"/>
      <c r="H105" s="111"/>
      <c r="I105" s="22"/>
      <c r="J105" s="1"/>
      <c r="K105" s="1"/>
    </row>
    <row r="106" spans="3:11" x14ac:dyDescent="0.3">
      <c r="C106" s="95"/>
      <c r="E106" s="95"/>
      <c r="F106" s="79"/>
      <c r="G106" s="95"/>
      <c r="I106" s="22"/>
      <c r="J106" s="1"/>
      <c r="K106" s="1"/>
    </row>
    <row r="107" spans="3:11" x14ac:dyDescent="0.3">
      <c r="C107" s="95"/>
      <c r="E107" s="95"/>
      <c r="F107" s="79"/>
      <c r="G107" s="95"/>
      <c r="I107" s="22"/>
      <c r="J107" s="1"/>
      <c r="K107" s="1"/>
    </row>
    <row r="108" spans="3:11" x14ac:dyDescent="0.3">
      <c r="C108" s="95"/>
      <c r="D108" s="1"/>
      <c r="E108" s="95"/>
      <c r="F108" s="79"/>
      <c r="G108" s="95"/>
      <c r="H108" s="111"/>
      <c r="I108" s="22"/>
      <c r="J108" s="1"/>
      <c r="K108" s="1"/>
    </row>
    <row r="109" spans="3:11" x14ac:dyDescent="0.3">
      <c r="C109" s="95"/>
      <c r="D109" s="1"/>
      <c r="E109" s="95"/>
      <c r="F109" s="79"/>
      <c r="G109" s="95"/>
      <c r="H109" s="111"/>
      <c r="I109" s="22"/>
      <c r="J109" s="1"/>
      <c r="K109" s="1"/>
    </row>
    <row r="110" spans="3:11" x14ac:dyDescent="0.3">
      <c r="C110" s="95"/>
      <c r="D110" s="1"/>
      <c r="E110" s="95"/>
      <c r="F110" s="79"/>
      <c r="G110" s="95"/>
      <c r="H110" s="111"/>
      <c r="I110" s="22"/>
      <c r="J110" s="1"/>
      <c r="K110" s="1"/>
    </row>
    <row r="111" spans="3:11" x14ac:dyDescent="0.3">
      <c r="C111" s="95"/>
      <c r="D111" s="1"/>
      <c r="E111" s="95"/>
      <c r="F111" s="79"/>
      <c r="G111" s="95"/>
      <c r="H111" s="111"/>
      <c r="I111" s="22"/>
      <c r="J111" s="1"/>
      <c r="K111" s="1"/>
    </row>
    <row r="112" spans="3:11" x14ac:dyDescent="0.3">
      <c r="C112" s="95"/>
      <c r="D112" s="1"/>
      <c r="E112" s="95"/>
      <c r="F112" s="79"/>
      <c r="G112" s="95"/>
      <c r="H112" s="111"/>
      <c r="I112" s="22"/>
      <c r="J112" s="1"/>
      <c r="K112" s="1"/>
    </row>
    <row r="113" spans="3:11" x14ac:dyDescent="0.3">
      <c r="C113" s="95"/>
      <c r="D113" s="1"/>
      <c r="E113" s="95"/>
      <c r="F113" s="79"/>
      <c r="G113" s="95"/>
      <c r="H113" s="111"/>
      <c r="I113" s="22"/>
      <c r="J113" s="1"/>
      <c r="K113" s="1"/>
    </row>
    <row r="114" spans="3:11" x14ac:dyDescent="0.3">
      <c r="C114" s="95"/>
      <c r="D114" s="1"/>
      <c r="E114" s="95"/>
      <c r="F114" s="79"/>
      <c r="G114" s="95"/>
      <c r="H114" s="111"/>
      <c r="I114" s="22"/>
      <c r="J114" s="1"/>
      <c r="K114" s="1"/>
    </row>
    <row r="115" spans="3:11" x14ac:dyDescent="0.3">
      <c r="C115" s="95"/>
      <c r="D115" s="1"/>
      <c r="E115" s="95"/>
      <c r="F115" s="79"/>
      <c r="G115" s="95"/>
      <c r="H115" s="111"/>
      <c r="I115" s="22"/>
      <c r="J115" s="1"/>
      <c r="K115" s="1"/>
    </row>
    <row r="116" spans="3:11" x14ac:dyDescent="0.3">
      <c r="C116" s="95"/>
      <c r="D116" s="1"/>
      <c r="E116" s="95"/>
      <c r="F116" s="79"/>
      <c r="G116" s="95"/>
      <c r="H116" s="111"/>
      <c r="I116" s="22"/>
      <c r="J116" s="1"/>
      <c r="K116" s="1"/>
    </row>
    <row r="117" spans="3:11" x14ac:dyDescent="0.3">
      <c r="C117" s="95"/>
      <c r="D117" s="1"/>
      <c r="E117" s="95"/>
      <c r="F117" s="79"/>
      <c r="G117" s="95"/>
      <c r="H117" s="111"/>
      <c r="I117" s="22"/>
      <c r="J117" s="1"/>
      <c r="K117" s="1"/>
    </row>
    <row r="118" spans="3:11" x14ac:dyDescent="0.3">
      <c r="C118" s="95"/>
      <c r="E118" s="95"/>
      <c r="F118" s="79"/>
      <c r="G118" s="95"/>
      <c r="I118" s="22"/>
      <c r="J118" s="1"/>
      <c r="K118" s="1"/>
    </row>
    <row r="119" spans="3:11" x14ac:dyDescent="0.3">
      <c r="C119" s="95"/>
      <c r="E119" s="95"/>
      <c r="F119" s="79"/>
      <c r="G119" s="95"/>
      <c r="I119" s="22"/>
      <c r="J119" s="1"/>
      <c r="K119" s="1"/>
    </row>
    <row r="120" spans="3:11" x14ac:dyDescent="0.3">
      <c r="C120" s="95"/>
      <c r="E120" s="95"/>
      <c r="F120" s="79"/>
      <c r="G120" s="95"/>
      <c r="I120" s="22"/>
      <c r="J120" s="1"/>
      <c r="K120" s="1"/>
    </row>
    <row r="121" spans="3:11" x14ac:dyDescent="0.3">
      <c r="C121" s="95"/>
      <c r="E121" s="95"/>
      <c r="F121" s="79"/>
      <c r="G121" s="95"/>
      <c r="I121" s="22"/>
      <c r="J121" s="1"/>
      <c r="K121" s="1"/>
    </row>
    <row r="122" spans="3:11" x14ac:dyDescent="0.3">
      <c r="C122" s="95"/>
      <c r="E122" s="95"/>
      <c r="F122" s="79"/>
      <c r="G122" s="95"/>
      <c r="I122" s="22"/>
      <c r="J122" s="1"/>
      <c r="K122" s="1"/>
    </row>
    <row r="123" spans="3:11" x14ac:dyDescent="0.3">
      <c r="C123" s="95"/>
      <c r="E123" s="95"/>
      <c r="F123" s="79"/>
      <c r="G123" s="95"/>
      <c r="I123" s="22"/>
      <c r="J123" s="1"/>
      <c r="K123" s="1"/>
    </row>
    <row r="124" spans="3:11" x14ac:dyDescent="0.3">
      <c r="C124" s="95"/>
      <c r="E124" s="95"/>
      <c r="F124" s="79"/>
      <c r="G124" s="95"/>
      <c r="I124" s="22"/>
      <c r="J124" s="1"/>
      <c r="K124" s="1"/>
    </row>
    <row r="125" spans="3:11" x14ac:dyDescent="0.3">
      <c r="C125" s="95"/>
      <c r="E125" s="95"/>
      <c r="F125" s="79"/>
      <c r="G125" s="95"/>
      <c r="I125" s="22"/>
      <c r="J125" s="1"/>
      <c r="K125" s="1"/>
    </row>
    <row r="126" spans="3:11" x14ac:dyDescent="0.3">
      <c r="C126" s="95"/>
      <c r="E126" s="95"/>
      <c r="F126" s="79"/>
      <c r="G126" s="95"/>
      <c r="I126" s="22"/>
      <c r="J126" s="1"/>
      <c r="K126" s="1"/>
    </row>
    <row r="127" spans="3:11" x14ac:dyDescent="0.3">
      <c r="C127" s="95"/>
      <c r="E127" s="95"/>
      <c r="F127" s="79"/>
      <c r="G127" s="95"/>
      <c r="I127" s="22"/>
      <c r="J127" s="1"/>
      <c r="K127" s="1"/>
    </row>
    <row r="128" spans="3:11" x14ac:dyDescent="0.3">
      <c r="C128" s="95"/>
      <c r="E128" s="95"/>
      <c r="F128" s="79"/>
      <c r="G128" s="95"/>
      <c r="I128" s="22"/>
      <c r="J128" s="1"/>
      <c r="K128" s="1"/>
    </row>
    <row r="129" spans="3:11" x14ac:dyDescent="0.3">
      <c r="C129" s="95"/>
      <c r="E129" s="95"/>
      <c r="F129" s="79"/>
      <c r="G129" s="95"/>
      <c r="I129" s="22"/>
      <c r="J129" s="1"/>
      <c r="K129" s="1"/>
    </row>
    <row r="130" spans="3:11" x14ac:dyDescent="0.3">
      <c r="C130" s="95"/>
      <c r="E130" s="95"/>
      <c r="F130" s="79"/>
      <c r="G130" s="95"/>
      <c r="I130" s="22"/>
      <c r="J130" s="1"/>
      <c r="K130" s="1"/>
    </row>
    <row r="131" spans="3:11" x14ac:dyDescent="0.3">
      <c r="C131" s="95"/>
      <c r="E131" s="95"/>
      <c r="F131" s="79"/>
      <c r="G131" s="95"/>
      <c r="I131" s="22"/>
      <c r="J131" s="1"/>
      <c r="K131" s="1"/>
    </row>
    <row r="132" spans="3:11" x14ac:dyDescent="0.3">
      <c r="C132" s="95"/>
      <c r="E132" s="95"/>
      <c r="F132" s="79"/>
      <c r="G132" s="95"/>
      <c r="I132" s="22"/>
      <c r="J132" s="1"/>
      <c r="K132" s="1"/>
    </row>
    <row r="133" spans="3:11" x14ac:dyDescent="0.3">
      <c r="C133" s="95"/>
      <c r="E133" s="95"/>
      <c r="F133" s="79"/>
      <c r="G133" s="95"/>
      <c r="I133" s="22"/>
      <c r="J133" s="1"/>
      <c r="K133" s="1"/>
    </row>
    <row r="134" spans="3:11" x14ac:dyDescent="0.3">
      <c r="C134" s="95"/>
      <c r="E134" s="95"/>
      <c r="F134" s="79"/>
      <c r="G134" s="95"/>
      <c r="I134" s="22"/>
      <c r="J134" s="1"/>
      <c r="K134" s="1"/>
    </row>
    <row r="135" spans="3:11" x14ac:dyDescent="0.3">
      <c r="C135" s="95"/>
      <c r="E135" s="95"/>
      <c r="F135" s="79"/>
      <c r="G135" s="95"/>
      <c r="I135" s="22"/>
      <c r="J135" s="1"/>
      <c r="K135" s="1"/>
    </row>
    <row r="136" spans="3:11" x14ac:dyDescent="0.3">
      <c r="C136" s="95"/>
      <c r="E136" s="95"/>
      <c r="F136" s="79"/>
      <c r="G136" s="95"/>
      <c r="I136" s="22"/>
      <c r="J136" s="1"/>
      <c r="K136" s="1"/>
    </row>
    <row r="137" spans="3:11" x14ac:dyDescent="0.3">
      <c r="C137" s="95"/>
      <c r="E137" s="95"/>
      <c r="F137" s="79"/>
      <c r="G137" s="95"/>
      <c r="I137" s="22"/>
      <c r="J137" s="1"/>
      <c r="K137" s="1"/>
    </row>
    <row r="138" spans="3:11" x14ac:dyDescent="0.3">
      <c r="C138" s="95"/>
      <c r="E138" s="95"/>
      <c r="F138" s="79"/>
      <c r="G138" s="95"/>
      <c r="I138" s="22"/>
      <c r="J138" s="1"/>
      <c r="K138" s="1"/>
    </row>
    <row r="139" spans="3:11" x14ac:dyDescent="0.3">
      <c r="C139" s="95"/>
      <c r="E139" s="95"/>
      <c r="F139" s="79"/>
      <c r="G139" s="95"/>
      <c r="I139" s="22"/>
      <c r="J139" s="1"/>
      <c r="K139" s="1"/>
    </row>
    <row r="140" spans="3:11" x14ac:dyDescent="0.3">
      <c r="C140" s="95"/>
      <c r="E140" s="95"/>
      <c r="F140" s="79"/>
      <c r="G140" s="95"/>
      <c r="I140" s="22"/>
      <c r="J140" s="1"/>
      <c r="K140" s="1"/>
    </row>
    <row r="141" spans="3:11" x14ac:dyDescent="0.3">
      <c r="C141" s="95"/>
      <c r="D141" s="1"/>
      <c r="E141" s="95"/>
      <c r="F141" s="79"/>
      <c r="G141" s="95"/>
      <c r="H141" s="111"/>
      <c r="I141" s="22"/>
      <c r="J141" s="1"/>
      <c r="K141" s="1"/>
    </row>
    <row r="142" spans="3:11" x14ac:dyDescent="0.3">
      <c r="C142" s="95"/>
      <c r="D142" s="1"/>
      <c r="E142" s="95"/>
      <c r="F142" s="79"/>
      <c r="G142" s="95"/>
      <c r="H142" s="111"/>
      <c r="I142" s="22"/>
      <c r="J142" s="1"/>
      <c r="K142" s="1"/>
    </row>
    <row r="143" spans="3:11" x14ac:dyDescent="0.3">
      <c r="C143" s="95"/>
      <c r="D143" s="1"/>
      <c r="E143" s="95"/>
      <c r="F143" s="79"/>
      <c r="G143" s="95"/>
      <c r="H143" s="111"/>
      <c r="I143" s="22"/>
      <c r="J143" s="1"/>
      <c r="K143" s="1"/>
    </row>
    <row r="144" spans="3:11" x14ac:dyDescent="0.3">
      <c r="C144" s="95"/>
      <c r="D144" s="1"/>
      <c r="E144" s="95"/>
      <c r="F144" s="79"/>
      <c r="G144" s="95"/>
      <c r="H144" s="111"/>
      <c r="I144" s="22"/>
      <c r="J144" s="1"/>
      <c r="K144" s="1"/>
    </row>
    <row r="145" spans="3:11" x14ac:dyDescent="0.3">
      <c r="C145" s="95"/>
      <c r="D145" s="1"/>
      <c r="E145" s="95"/>
      <c r="F145" s="79"/>
      <c r="G145" s="95"/>
      <c r="H145" s="111"/>
      <c r="I145" s="22"/>
      <c r="J145" s="1"/>
      <c r="K145" s="1"/>
    </row>
    <row r="146" spans="3:11" x14ac:dyDescent="0.3">
      <c r="C146" s="95"/>
      <c r="D146" s="1"/>
      <c r="E146" s="95"/>
      <c r="F146" s="79"/>
      <c r="G146" s="95"/>
      <c r="H146" s="111"/>
      <c r="I146" s="22"/>
      <c r="J146" s="1"/>
      <c r="K146" s="1"/>
    </row>
    <row r="147" spans="3:11" x14ac:dyDescent="0.3">
      <c r="C147" s="95"/>
      <c r="D147" s="1"/>
      <c r="E147" s="95"/>
      <c r="F147" s="79"/>
      <c r="G147" s="95"/>
      <c r="H147" s="111"/>
      <c r="I147" s="22"/>
      <c r="J147" s="1"/>
      <c r="K147" s="1"/>
    </row>
    <row r="148" spans="3:11" x14ac:dyDescent="0.3">
      <c r="C148" s="95"/>
      <c r="D148" s="1"/>
      <c r="E148" s="95"/>
      <c r="F148" s="79"/>
      <c r="G148" s="95"/>
      <c r="H148" s="111"/>
      <c r="I148" s="22"/>
      <c r="J148" s="1"/>
      <c r="K148" s="1"/>
    </row>
  </sheetData>
  <conditionalFormatting sqref="D2:M21">
    <cfRule type="expression" dxfId="10" priority="1">
      <formula>$J2="Em Andamento"</formula>
    </cfRule>
    <cfRule type="expression" dxfId="9" priority="2">
      <formula>$J2="Emitida"</formula>
    </cfRule>
    <cfRule type="expression" dxfId="8" priority="3">
      <formula>$J2="Cancelada"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78A6-D5DE-4908-8108-028F66BA2C29}">
  <sheetPr>
    <tabColor theme="4"/>
  </sheetPr>
  <dimension ref="A1:V98"/>
  <sheetViews>
    <sheetView showGridLines="0" zoomScale="80" zoomScaleNormal="80" workbookViewId="0">
      <pane ySplit="1" topLeftCell="A2" activePane="bottomLeft" state="frozen"/>
      <selection pane="bottomLeft" activeCell="A8" sqref="A8"/>
    </sheetView>
  </sheetViews>
  <sheetFormatPr defaultRowHeight="16.5" x14ac:dyDescent="0.3"/>
  <cols>
    <col min="1" max="1" width="8.375" style="230" bestFit="1" customWidth="1"/>
    <col min="2" max="2" width="56.25" bestFit="1" customWidth="1"/>
    <col min="3" max="3" width="16.625" customWidth="1"/>
    <col min="4" max="4" width="12.125" style="90" customWidth="1"/>
    <col min="5" max="5" width="20.625" style="1" bestFit="1" customWidth="1"/>
    <col min="6" max="6" width="9.125" style="1" bestFit="1" customWidth="1"/>
    <col min="7" max="7" width="45.75" style="111" customWidth="1"/>
    <col min="8" max="8" width="11.375" style="22" bestFit="1" customWidth="1"/>
    <col min="9" max="9" width="13.25" bestFit="1" customWidth="1"/>
    <col min="10" max="10" width="19.25" style="4" bestFit="1" customWidth="1"/>
    <col min="11" max="11" width="16.25" bestFit="1" customWidth="1"/>
    <col min="12" max="12" width="11.125" bestFit="1" customWidth="1"/>
    <col min="13" max="13" width="20" bestFit="1" customWidth="1"/>
    <col min="14" max="14" width="12.5" style="95" bestFit="1" customWidth="1"/>
    <col min="15" max="15" width="22" style="95" customWidth="1"/>
    <col min="16" max="17" width="10.875" style="95" bestFit="1" customWidth="1"/>
    <col min="18" max="18" width="10" bestFit="1" customWidth="1"/>
    <col min="19" max="19" width="9.625" bestFit="1" customWidth="1"/>
    <col min="20" max="20" width="11.875" customWidth="1"/>
    <col min="21" max="21" width="8" style="1" bestFit="1" customWidth="1"/>
    <col min="22" max="22" width="7.625" style="1" bestFit="1" customWidth="1"/>
    <col min="23" max="23" width="11.875" customWidth="1"/>
  </cols>
  <sheetData>
    <row r="1" spans="1:22" s="3" customFormat="1" ht="17.25" thickBot="1" x14ac:dyDescent="0.35">
      <c r="A1" s="237" t="s">
        <v>1</v>
      </c>
      <c r="B1" s="145" t="s">
        <v>0</v>
      </c>
      <c r="C1" s="146" t="s">
        <v>364</v>
      </c>
      <c r="D1" s="2" t="s">
        <v>48</v>
      </c>
      <c r="E1" s="118" t="s">
        <v>583</v>
      </c>
      <c r="F1" s="2" t="s">
        <v>17</v>
      </c>
      <c r="G1" s="119" t="s">
        <v>369</v>
      </c>
      <c r="H1" s="120" t="s">
        <v>368</v>
      </c>
      <c r="I1" s="121" t="s">
        <v>77</v>
      </c>
      <c r="J1" s="24" t="s">
        <v>31</v>
      </c>
      <c r="K1" s="210" t="s">
        <v>769</v>
      </c>
      <c r="L1" s="245" t="s">
        <v>594</v>
      </c>
      <c r="M1" s="245" t="s">
        <v>768</v>
      </c>
      <c r="N1" s="245" t="s">
        <v>595</v>
      </c>
      <c r="O1" s="245" t="s">
        <v>596</v>
      </c>
      <c r="P1" s="115" t="s">
        <v>20</v>
      </c>
      <c r="Q1" s="122" t="s">
        <v>6</v>
      </c>
    </row>
    <row r="2" spans="1:22" x14ac:dyDescent="0.3">
      <c r="A2" s="238">
        <v>1088</v>
      </c>
      <c r="B2" s="221" t="s">
        <v>503</v>
      </c>
      <c r="C2" s="219">
        <v>1320</v>
      </c>
      <c r="D2" s="141">
        <v>1</v>
      </c>
      <c r="E2" s="104">
        <v>450</v>
      </c>
      <c r="F2" s="70">
        <v>1</v>
      </c>
      <c r="G2" s="84" t="s">
        <v>750</v>
      </c>
      <c r="H2" s="106">
        <v>45995</v>
      </c>
      <c r="I2" s="66" t="s">
        <v>359</v>
      </c>
      <c r="J2" s="93" t="s">
        <v>762</v>
      </c>
      <c r="K2" s="247" t="s">
        <v>637</v>
      </c>
      <c r="L2" s="248">
        <f>_xlfn.IFS(NFSe_Nice[[#This Row],[RETER ISS]]="NÃO",0,NFSe_Nice[[#This Row],[RETER ISS]]="SIM",NFSe_Nice[[#This Row],[VALOR NFS-e]]*5%)</f>
        <v>0</v>
      </c>
      <c r="M2" s="114" t="s">
        <v>638</v>
      </c>
      <c r="N2" s="249" cm="1">
        <f t="array" ref="N2">_xlfn.IFS(NFSe_Nice[[#This Row],[RETER INSS]]="NÃO",0,NFSe_Nice[[#This Row],[RETER INSS]]="SIM",NFSe_Nice[[#This Row],[VALOR NFS-e]]*11%)</f>
        <v>49.5</v>
      </c>
      <c r="O2" s="240">
        <f t="shared" ref="O2:O7" si="0">E2-L2-N2</f>
        <v>400.5</v>
      </c>
      <c r="P2" s="103" t="s">
        <v>12</v>
      </c>
      <c r="Q2" s="223" t="s">
        <v>12</v>
      </c>
      <c r="U2"/>
      <c r="V2"/>
    </row>
    <row r="3" spans="1:22" x14ac:dyDescent="0.3">
      <c r="A3" s="229">
        <v>1091</v>
      </c>
      <c r="B3" s="222" t="s">
        <v>752</v>
      </c>
      <c r="C3" s="72">
        <v>2906.24</v>
      </c>
      <c r="D3" s="149">
        <v>2</v>
      </c>
      <c r="E3" s="105">
        <v>650</v>
      </c>
      <c r="F3" s="71">
        <v>2</v>
      </c>
      <c r="G3" s="110" t="s">
        <v>751</v>
      </c>
      <c r="H3" s="107">
        <v>46006</v>
      </c>
      <c r="I3" s="68" t="s">
        <v>359</v>
      </c>
      <c r="J3" s="94"/>
      <c r="K3" s="159" t="s">
        <v>637</v>
      </c>
      <c r="L3" s="100">
        <f>_xlfn.IFS(NFSe_Nice[[#This Row],[RETER ISS]]="NÃO",0,NFSe_Nice[[#This Row],[RETER ISS]]="SIM",NFSe_Nice[[#This Row],[VALOR NFS-e]]*5%)</f>
        <v>0</v>
      </c>
      <c r="M3" s="100" t="s">
        <v>637</v>
      </c>
      <c r="N3" s="250" cm="1">
        <f t="array" ref="N3">_xlfn.IFS(NFSe_Nice[[#This Row],[RETER INSS]]="NÃO",0,NFSe_Nice[[#This Row],[RETER INSS]]="SIM",NFSe_Nice[[#This Row],[VALOR NFS-e]]*11%)</f>
        <v>0</v>
      </c>
      <c r="O3" s="220">
        <f t="shared" si="0"/>
        <v>650</v>
      </c>
      <c r="P3" s="108" t="s">
        <v>12</v>
      </c>
      <c r="Q3" s="224" t="s">
        <v>12</v>
      </c>
      <c r="U3"/>
      <c r="V3"/>
    </row>
    <row r="4" spans="1:22" x14ac:dyDescent="0.3">
      <c r="A4" s="229">
        <v>1101</v>
      </c>
      <c r="B4" s="222" t="s">
        <v>759</v>
      </c>
      <c r="C4" s="220">
        <v>2415.2800000000002</v>
      </c>
      <c r="D4" s="149">
        <v>3</v>
      </c>
      <c r="E4" s="105">
        <v>530</v>
      </c>
      <c r="F4" s="98">
        <v>1</v>
      </c>
      <c r="G4" s="110" t="s">
        <v>761</v>
      </c>
      <c r="H4" s="101">
        <v>46064</v>
      </c>
      <c r="I4" s="68" t="s">
        <v>359</v>
      </c>
      <c r="J4" s="246"/>
      <c r="K4" s="159" t="s">
        <v>637</v>
      </c>
      <c r="L4" s="100">
        <f>_xlfn.IFS(NFSe_Nice[[#This Row],[RETER ISS]]="NÃO",0,NFSe_Nice[[#This Row],[RETER ISS]]="SIM",NFSe_Nice[[#This Row],[VALOR NFS-e]]*5%)</f>
        <v>0</v>
      </c>
      <c r="M4" s="100" t="s">
        <v>637</v>
      </c>
      <c r="N4" s="250" cm="1">
        <f t="array" ref="N4">_xlfn.IFS(NFSe_Nice[[#This Row],[RETER INSS]]="NÃO",0,NFSe_Nice[[#This Row],[RETER INSS]]="SIM",NFSe_Nice[[#This Row],[VALOR NFS-e]]*11%)</f>
        <v>0</v>
      </c>
      <c r="O4" s="220">
        <f t="shared" si="0"/>
        <v>530</v>
      </c>
      <c r="P4" s="108"/>
      <c r="Q4" s="224"/>
      <c r="U4"/>
      <c r="V4"/>
    </row>
    <row r="5" spans="1:22" x14ac:dyDescent="0.3">
      <c r="A5" s="229">
        <v>1108</v>
      </c>
      <c r="B5" s="222" t="s">
        <v>1039</v>
      </c>
      <c r="C5" s="220">
        <v>17184.47</v>
      </c>
      <c r="D5" s="149">
        <v>4</v>
      </c>
      <c r="E5" s="105">
        <v>1650</v>
      </c>
      <c r="F5" s="98">
        <v>2</v>
      </c>
      <c r="G5" s="110" t="s">
        <v>1042</v>
      </c>
      <c r="H5" s="101">
        <v>46090</v>
      </c>
      <c r="I5" s="68" t="s">
        <v>359</v>
      </c>
      <c r="J5" s="246" t="s">
        <v>762</v>
      </c>
      <c r="K5" s="159" t="s">
        <v>638</v>
      </c>
      <c r="L5" s="100">
        <f>_xlfn.IFS(NFSe_Nice[[#This Row],[RETER ISS]]="NÃO",0,NFSe_Nice[[#This Row],[RETER ISS]]="SIM",NFSe_Nice[[#This Row],[VALOR NFS-e]]*5%)</f>
        <v>82.5</v>
      </c>
      <c r="M5" s="100" t="s">
        <v>638</v>
      </c>
      <c r="N5" s="250" cm="1">
        <f t="array" ref="N5">_xlfn.IFS(NFSe_Nice[[#This Row],[RETER INSS]]="NÃO",0,NFSe_Nice[[#This Row],[RETER INSS]]="SIM",NFSe_Nice[[#This Row],[VALOR NFS-e]]*11%)</f>
        <v>181.5</v>
      </c>
      <c r="O5" s="220">
        <f t="shared" si="0"/>
        <v>1386</v>
      </c>
      <c r="P5" s="108"/>
      <c r="Q5" s="224"/>
      <c r="U5"/>
      <c r="V5"/>
    </row>
    <row r="6" spans="1:22" x14ac:dyDescent="0.3">
      <c r="A6" s="234">
        <v>1117</v>
      </c>
      <c r="B6" s="319" t="s">
        <v>1358</v>
      </c>
      <c r="C6" s="109">
        <v>9324.6</v>
      </c>
      <c r="D6" s="149">
        <v>5</v>
      </c>
      <c r="E6" s="105">
        <v>9324.6</v>
      </c>
      <c r="F6" s="98">
        <v>5</v>
      </c>
      <c r="G6" s="110" t="s">
        <v>1357</v>
      </c>
      <c r="H6" s="101">
        <v>46119</v>
      </c>
      <c r="I6" s="68" t="s">
        <v>359</v>
      </c>
      <c r="J6" s="124"/>
      <c r="K6" s="159" t="s">
        <v>637</v>
      </c>
      <c r="L6" s="100">
        <f>_xlfn.IFS(NFSe_Nice[[#This Row],[RETER ISS]]="NÃO",0,NFSe_Nice[[#This Row],[RETER ISS]]="SIM",NFSe_Nice[[#This Row],[VALOR NFS-e]]*5%)</f>
        <v>0</v>
      </c>
      <c r="M6" s="100" t="s">
        <v>637</v>
      </c>
      <c r="N6" s="250" cm="1">
        <f t="array" ref="N6">_xlfn.IFS(NFSe_Nice[[#This Row],[RETER INSS]]="NÃO",0,NFSe_Nice[[#This Row],[RETER INSS]]="SIM",NFSe_Nice[[#This Row],[VALOR NFS-e]]*11%)</f>
        <v>0</v>
      </c>
      <c r="O6" s="109">
        <f t="shared" si="0"/>
        <v>9324.6</v>
      </c>
      <c r="P6" s="256"/>
      <c r="Q6" s="109"/>
      <c r="R6" s="1"/>
      <c r="S6" s="1"/>
      <c r="U6"/>
      <c r="V6"/>
    </row>
    <row r="7" spans="1:22" x14ac:dyDescent="0.3">
      <c r="A7" s="234">
        <v>1112</v>
      </c>
      <c r="B7" s="319" t="s">
        <v>1555</v>
      </c>
      <c r="C7" s="109">
        <v>39151.51</v>
      </c>
      <c r="D7" s="149">
        <v>6</v>
      </c>
      <c r="E7" s="105">
        <v>2750</v>
      </c>
      <c r="F7" s="98">
        <v>6</v>
      </c>
      <c r="G7" s="110" t="s">
        <v>1616</v>
      </c>
      <c r="H7" s="101">
        <v>46127</v>
      </c>
      <c r="I7" s="68" t="s">
        <v>359</v>
      </c>
      <c r="J7" s="124"/>
      <c r="K7" s="159" t="s">
        <v>637</v>
      </c>
      <c r="L7" s="100">
        <f>_xlfn.IFS(NFSe_Nice[[#This Row],[RETER ISS]]="NÃO",0,NFSe_Nice[[#This Row],[RETER ISS]]="SIM",NFSe_Nice[[#This Row],[VALOR NFS-e]]*5%)</f>
        <v>0</v>
      </c>
      <c r="M7" s="100" t="s">
        <v>637</v>
      </c>
      <c r="N7" s="250" cm="1">
        <f t="array" ref="N7">_xlfn.IFS(NFSe_Nice[[#This Row],[RETER INSS]]="NÃO",0,NFSe_Nice[[#This Row],[RETER INSS]]="SIM",NFSe_Nice[[#This Row],[VALOR NFS-e]]*11%)</f>
        <v>0</v>
      </c>
      <c r="O7" s="109">
        <f t="shared" si="0"/>
        <v>2750</v>
      </c>
      <c r="P7" s="256"/>
      <c r="Q7" s="109"/>
      <c r="R7" s="1"/>
      <c r="S7" s="1"/>
      <c r="U7"/>
      <c r="V7"/>
    </row>
    <row r="8" spans="1:22" x14ac:dyDescent="0.3">
      <c r="C8" s="95"/>
      <c r="D8" s="1"/>
      <c r="E8" s="95"/>
      <c r="I8" s="1"/>
      <c r="M8" s="1"/>
      <c r="R8" s="1"/>
      <c r="S8" s="1"/>
      <c r="U8"/>
      <c r="V8"/>
    </row>
    <row r="9" spans="1:22" x14ac:dyDescent="0.3">
      <c r="C9" s="95"/>
      <c r="D9" s="1"/>
      <c r="E9" s="95"/>
      <c r="I9" s="1"/>
      <c r="M9" s="1"/>
      <c r="R9" s="1"/>
      <c r="S9" s="1"/>
      <c r="U9"/>
      <c r="V9"/>
    </row>
    <row r="10" spans="1:22" x14ac:dyDescent="0.3">
      <c r="C10" s="95"/>
      <c r="D10" s="1"/>
      <c r="E10" s="95"/>
      <c r="I10" s="1"/>
      <c r="M10" s="1"/>
      <c r="R10" s="1"/>
      <c r="S10" s="1"/>
      <c r="U10"/>
      <c r="V10"/>
    </row>
    <row r="11" spans="1:22" x14ac:dyDescent="0.3">
      <c r="C11" s="95"/>
      <c r="D11" s="1"/>
      <c r="E11" s="95"/>
      <c r="I11" s="1"/>
      <c r="M11" s="1"/>
      <c r="R11" s="1"/>
      <c r="S11" s="1"/>
      <c r="U11"/>
      <c r="V11"/>
    </row>
    <row r="12" spans="1:22" x14ac:dyDescent="0.3">
      <c r="C12" s="95"/>
      <c r="D12" s="1"/>
      <c r="E12" s="95"/>
      <c r="I12" s="1"/>
      <c r="M12" s="1"/>
      <c r="R12" s="1"/>
      <c r="S12" s="1"/>
      <c r="U12"/>
      <c r="V12"/>
    </row>
    <row r="13" spans="1:22" x14ac:dyDescent="0.3">
      <c r="C13" s="95"/>
      <c r="D13" s="1"/>
      <c r="E13" s="95"/>
      <c r="I13" s="1"/>
      <c r="M13" s="1"/>
      <c r="R13" s="1"/>
      <c r="S13" s="1"/>
      <c r="U13"/>
      <c r="V13"/>
    </row>
    <row r="14" spans="1:22" x14ac:dyDescent="0.3">
      <c r="C14" s="95"/>
      <c r="D14" s="1"/>
      <c r="E14" s="95"/>
      <c r="I14" s="1"/>
      <c r="M14" s="1"/>
      <c r="R14" s="1"/>
      <c r="S14" s="1"/>
      <c r="U14"/>
      <c r="V14"/>
    </row>
    <row r="15" spans="1:22" x14ac:dyDescent="0.3">
      <c r="C15" s="95"/>
      <c r="D15" s="1"/>
      <c r="E15" s="95"/>
      <c r="I15" s="1"/>
      <c r="M15" s="1"/>
      <c r="R15" s="1"/>
      <c r="S15" s="1"/>
      <c r="U15"/>
      <c r="V15"/>
    </row>
    <row r="16" spans="1:22" x14ac:dyDescent="0.3">
      <c r="C16" s="95"/>
      <c r="D16" s="1"/>
      <c r="E16" s="95"/>
      <c r="I16" s="1"/>
      <c r="M16" s="1"/>
      <c r="R16" s="1"/>
      <c r="S16" s="1"/>
      <c r="U16"/>
      <c r="V16"/>
    </row>
    <row r="17" spans="3:22" x14ac:dyDescent="0.3">
      <c r="C17" s="95"/>
      <c r="E17" s="95"/>
      <c r="I17" s="1"/>
      <c r="M17" s="1"/>
      <c r="R17" s="1"/>
      <c r="S17" s="1"/>
      <c r="U17"/>
      <c r="V17"/>
    </row>
    <row r="18" spans="3:22" x14ac:dyDescent="0.3">
      <c r="C18" s="95"/>
      <c r="D18" s="1"/>
      <c r="E18" s="95"/>
      <c r="I18" s="1"/>
      <c r="M18" s="1"/>
      <c r="R18" s="1"/>
      <c r="S18" s="1"/>
      <c r="U18"/>
      <c r="V18"/>
    </row>
    <row r="19" spans="3:22" x14ac:dyDescent="0.3">
      <c r="C19" s="95"/>
      <c r="D19" s="1"/>
      <c r="E19" s="95"/>
      <c r="I19" s="1"/>
      <c r="M19" s="1"/>
      <c r="R19" s="1"/>
      <c r="S19" s="1"/>
      <c r="U19"/>
      <c r="V19"/>
    </row>
    <row r="20" spans="3:22" x14ac:dyDescent="0.3">
      <c r="C20" s="95"/>
      <c r="D20" s="1"/>
      <c r="E20" s="95"/>
      <c r="I20" s="1"/>
      <c r="M20" s="1"/>
      <c r="R20" s="1"/>
      <c r="S20" s="1"/>
      <c r="U20"/>
      <c r="V20"/>
    </row>
    <row r="21" spans="3:22" x14ac:dyDescent="0.3">
      <c r="C21" s="95"/>
      <c r="D21" s="1"/>
      <c r="E21" s="95"/>
      <c r="I21" s="1"/>
      <c r="M21" s="1"/>
      <c r="R21" s="1"/>
      <c r="S21" s="1"/>
      <c r="U21"/>
      <c r="V21"/>
    </row>
    <row r="22" spans="3:22" x14ac:dyDescent="0.3">
      <c r="C22" s="95"/>
      <c r="D22" s="1"/>
      <c r="E22" s="95"/>
      <c r="I22" s="1"/>
      <c r="M22" s="1"/>
      <c r="R22" s="1"/>
      <c r="S22" s="1"/>
      <c r="U22"/>
      <c r="V22"/>
    </row>
    <row r="23" spans="3:22" x14ac:dyDescent="0.3">
      <c r="C23" s="95"/>
      <c r="D23" s="1"/>
      <c r="E23" s="95"/>
      <c r="I23" s="1"/>
      <c r="M23" s="1"/>
      <c r="R23" s="1"/>
      <c r="S23" s="1"/>
      <c r="U23"/>
      <c r="V23"/>
    </row>
    <row r="24" spans="3:22" x14ac:dyDescent="0.3">
      <c r="C24" s="95"/>
      <c r="E24" s="95"/>
      <c r="I24" s="1"/>
      <c r="M24" s="1"/>
      <c r="R24" s="1"/>
      <c r="S24" s="1"/>
      <c r="U24"/>
      <c r="V24"/>
    </row>
    <row r="25" spans="3:22" x14ac:dyDescent="0.3">
      <c r="C25" s="95"/>
      <c r="E25" s="95"/>
      <c r="I25" s="1"/>
      <c r="M25" s="1"/>
      <c r="R25" s="1"/>
      <c r="S25" s="1"/>
      <c r="U25"/>
      <c r="V25"/>
    </row>
    <row r="26" spans="3:22" x14ac:dyDescent="0.3">
      <c r="C26" s="95"/>
      <c r="D26" s="1"/>
      <c r="E26" s="95"/>
      <c r="I26" s="1"/>
      <c r="M26" s="1"/>
      <c r="R26" s="1"/>
      <c r="S26" s="1"/>
      <c r="U26"/>
      <c r="V26"/>
    </row>
    <row r="27" spans="3:22" x14ac:dyDescent="0.3">
      <c r="C27" s="95"/>
      <c r="D27" s="1"/>
      <c r="E27" s="95"/>
      <c r="I27" s="1"/>
      <c r="M27" s="1"/>
      <c r="R27" s="1"/>
      <c r="S27" s="1"/>
      <c r="U27"/>
      <c r="V27"/>
    </row>
    <row r="28" spans="3:22" x14ac:dyDescent="0.3">
      <c r="C28" s="95"/>
      <c r="D28" s="1"/>
      <c r="E28" s="95"/>
      <c r="I28" s="1"/>
      <c r="M28" s="1"/>
      <c r="R28" s="1"/>
      <c r="S28" s="1"/>
      <c r="U28"/>
      <c r="V28"/>
    </row>
    <row r="29" spans="3:22" x14ac:dyDescent="0.3">
      <c r="C29" s="95"/>
      <c r="D29" s="1"/>
      <c r="E29" s="95"/>
      <c r="I29" s="1"/>
      <c r="M29" s="1"/>
      <c r="R29" s="1"/>
      <c r="S29" s="1"/>
      <c r="U29"/>
      <c r="V29"/>
    </row>
    <row r="30" spans="3:22" x14ac:dyDescent="0.3">
      <c r="C30" s="95"/>
      <c r="D30" s="1"/>
      <c r="E30" s="95"/>
      <c r="I30" s="1"/>
      <c r="M30" s="1"/>
      <c r="R30" s="1"/>
      <c r="S30" s="1"/>
      <c r="U30"/>
      <c r="V30"/>
    </row>
    <row r="31" spans="3:22" x14ac:dyDescent="0.3">
      <c r="C31" s="95"/>
      <c r="D31" s="1"/>
      <c r="E31" s="95"/>
      <c r="I31" s="1"/>
      <c r="M31" s="1"/>
      <c r="R31" s="1"/>
      <c r="S31" s="1"/>
      <c r="U31"/>
      <c r="V31"/>
    </row>
    <row r="32" spans="3:22" x14ac:dyDescent="0.3">
      <c r="C32" s="95"/>
      <c r="D32" s="1"/>
      <c r="E32" s="95"/>
      <c r="I32" s="1"/>
      <c r="M32" s="1"/>
      <c r="R32" s="1"/>
      <c r="S32" s="1"/>
      <c r="U32"/>
      <c r="V32"/>
    </row>
    <row r="33" spans="3:22" x14ac:dyDescent="0.3">
      <c r="C33" s="95"/>
      <c r="D33" s="1"/>
      <c r="E33" s="95"/>
      <c r="I33" s="1"/>
      <c r="M33" s="1"/>
      <c r="R33" s="1"/>
      <c r="S33" s="1"/>
      <c r="U33"/>
      <c r="V33"/>
    </row>
    <row r="34" spans="3:22" x14ac:dyDescent="0.3">
      <c r="C34" s="95"/>
      <c r="D34" s="1"/>
      <c r="E34" s="95"/>
      <c r="I34" s="1"/>
      <c r="M34" s="1"/>
      <c r="R34" s="1"/>
      <c r="S34" s="1"/>
      <c r="U34"/>
      <c r="V34"/>
    </row>
    <row r="35" spans="3:22" x14ac:dyDescent="0.3">
      <c r="C35" s="95"/>
      <c r="D35" s="1"/>
      <c r="E35" s="95"/>
      <c r="I35" s="1"/>
      <c r="M35" s="1"/>
      <c r="R35" s="1"/>
      <c r="S35" s="1"/>
      <c r="U35"/>
      <c r="V35"/>
    </row>
    <row r="36" spans="3:22" x14ac:dyDescent="0.3">
      <c r="C36" s="95"/>
      <c r="D36" s="1"/>
      <c r="E36" s="95"/>
      <c r="I36" s="1"/>
      <c r="M36" s="1"/>
      <c r="R36" s="1"/>
      <c r="S36" s="1"/>
      <c r="U36"/>
      <c r="V36"/>
    </row>
    <row r="37" spans="3:22" x14ac:dyDescent="0.3">
      <c r="C37" s="95"/>
      <c r="D37" s="1"/>
      <c r="E37" s="95"/>
      <c r="I37" s="1"/>
      <c r="M37" s="1"/>
      <c r="R37" s="1"/>
      <c r="S37" s="1"/>
      <c r="U37"/>
      <c r="V37"/>
    </row>
    <row r="38" spans="3:22" x14ac:dyDescent="0.3">
      <c r="C38" s="95"/>
      <c r="D38" s="1"/>
      <c r="E38" s="95"/>
      <c r="I38" s="1"/>
      <c r="M38" s="1"/>
      <c r="R38" s="1"/>
      <c r="S38" s="1"/>
      <c r="U38"/>
      <c r="V38"/>
    </row>
    <row r="39" spans="3:22" x14ac:dyDescent="0.3">
      <c r="C39" s="95"/>
      <c r="D39" s="1"/>
      <c r="E39" s="95"/>
      <c r="I39" s="1"/>
      <c r="M39" s="1"/>
      <c r="R39" s="1"/>
      <c r="S39" s="1"/>
      <c r="U39"/>
      <c r="V39"/>
    </row>
    <row r="40" spans="3:22" x14ac:dyDescent="0.3">
      <c r="C40" s="95"/>
      <c r="E40" s="95"/>
      <c r="I40" s="1"/>
      <c r="M40" s="1"/>
      <c r="R40" s="1"/>
      <c r="S40" s="1"/>
      <c r="U40"/>
      <c r="V40"/>
    </row>
    <row r="41" spans="3:22" x14ac:dyDescent="0.3">
      <c r="C41" s="95"/>
      <c r="E41" s="95"/>
      <c r="I41" s="1"/>
      <c r="M41" s="1"/>
      <c r="R41" s="1"/>
      <c r="S41" s="1"/>
      <c r="U41"/>
      <c r="V41"/>
    </row>
    <row r="42" spans="3:22" x14ac:dyDescent="0.3">
      <c r="C42" s="95"/>
      <c r="E42" s="95"/>
      <c r="I42" s="1"/>
      <c r="M42" s="1"/>
      <c r="R42" s="1"/>
      <c r="S42" s="1"/>
      <c r="U42"/>
      <c r="V42"/>
    </row>
    <row r="43" spans="3:22" x14ac:dyDescent="0.3">
      <c r="C43" s="95"/>
      <c r="D43" s="1"/>
      <c r="E43" s="95"/>
      <c r="I43" s="1"/>
      <c r="M43" s="1"/>
      <c r="R43" s="1"/>
      <c r="S43" s="1"/>
      <c r="U43"/>
      <c r="V43"/>
    </row>
    <row r="44" spans="3:22" x14ac:dyDescent="0.3">
      <c r="C44" s="95"/>
      <c r="D44" s="1"/>
      <c r="E44" s="95"/>
      <c r="I44" s="1"/>
      <c r="M44" s="1"/>
      <c r="R44" s="1"/>
      <c r="S44" s="1"/>
      <c r="U44"/>
      <c r="V44"/>
    </row>
    <row r="45" spans="3:22" x14ac:dyDescent="0.3">
      <c r="C45" s="95"/>
      <c r="D45" s="1"/>
      <c r="E45" s="95"/>
      <c r="I45" s="1"/>
      <c r="M45" s="1"/>
      <c r="R45" s="1"/>
      <c r="S45" s="1"/>
      <c r="U45"/>
      <c r="V45"/>
    </row>
    <row r="46" spans="3:22" x14ac:dyDescent="0.3">
      <c r="C46" s="95"/>
      <c r="D46" s="1"/>
      <c r="E46" s="95"/>
      <c r="I46" s="1"/>
      <c r="M46" s="1"/>
      <c r="R46" s="1"/>
      <c r="S46" s="1"/>
      <c r="U46"/>
      <c r="V46"/>
    </row>
    <row r="47" spans="3:22" x14ac:dyDescent="0.3">
      <c r="C47" s="95"/>
      <c r="E47" s="95"/>
      <c r="I47" s="1"/>
      <c r="M47" s="1"/>
      <c r="R47" s="1"/>
      <c r="S47" s="1"/>
      <c r="U47"/>
      <c r="V47"/>
    </row>
    <row r="48" spans="3:22" x14ac:dyDescent="0.3">
      <c r="C48" s="95"/>
      <c r="D48" s="1"/>
      <c r="E48" s="95"/>
      <c r="I48" s="1"/>
      <c r="M48" s="1"/>
      <c r="R48" s="1"/>
      <c r="S48" s="1"/>
      <c r="U48"/>
      <c r="V48"/>
    </row>
    <row r="49" spans="3:22" x14ac:dyDescent="0.3">
      <c r="C49" s="95"/>
      <c r="D49" s="1"/>
      <c r="E49" s="95"/>
      <c r="I49" s="1"/>
      <c r="M49" s="1"/>
      <c r="R49" s="1"/>
      <c r="S49" s="1"/>
      <c r="U49"/>
      <c r="V49"/>
    </row>
    <row r="50" spans="3:22" x14ac:dyDescent="0.3">
      <c r="C50" s="95"/>
      <c r="D50" s="1"/>
      <c r="E50" s="95"/>
      <c r="I50" s="1"/>
      <c r="M50" s="1"/>
      <c r="R50" s="1"/>
      <c r="S50" s="1"/>
      <c r="U50"/>
      <c r="V50"/>
    </row>
    <row r="51" spans="3:22" x14ac:dyDescent="0.3">
      <c r="C51" s="95"/>
      <c r="D51" s="1"/>
      <c r="E51" s="95"/>
      <c r="I51" s="1"/>
      <c r="M51" s="1"/>
      <c r="R51" s="1"/>
      <c r="S51" s="1"/>
      <c r="U51"/>
      <c r="V51"/>
    </row>
    <row r="52" spans="3:22" x14ac:dyDescent="0.3">
      <c r="C52" s="95"/>
      <c r="D52" s="1"/>
      <c r="E52" s="95"/>
      <c r="I52" s="1"/>
      <c r="M52" s="1"/>
      <c r="R52" s="1"/>
      <c r="S52" s="1"/>
      <c r="U52"/>
      <c r="V52"/>
    </row>
    <row r="53" spans="3:22" x14ac:dyDescent="0.3">
      <c r="C53" s="95"/>
      <c r="E53" s="95"/>
      <c r="I53" s="1"/>
      <c r="M53" s="1"/>
      <c r="R53" s="1"/>
      <c r="S53" s="1"/>
      <c r="U53"/>
      <c r="V53"/>
    </row>
    <row r="54" spans="3:22" x14ac:dyDescent="0.3">
      <c r="C54" s="95"/>
      <c r="E54" s="95"/>
      <c r="I54" s="1"/>
      <c r="M54" s="1"/>
      <c r="R54" s="1"/>
      <c r="S54" s="1"/>
      <c r="U54"/>
      <c r="V54"/>
    </row>
    <row r="55" spans="3:22" x14ac:dyDescent="0.3">
      <c r="C55" s="95"/>
      <c r="D55" s="1"/>
      <c r="E55" s="95"/>
      <c r="I55" s="1"/>
      <c r="M55" s="1"/>
      <c r="R55" s="1"/>
      <c r="S55" s="1"/>
      <c r="U55"/>
      <c r="V55"/>
    </row>
    <row r="56" spans="3:22" x14ac:dyDescent="0.3">
      <c r="C56" s="95"/>
      <c r="D56" s="1"/>
      <c r="E56" s="95"/>
      <c r="I56" s="1"/>
      <c r="M56" s="1"/>
      <c r="R56" s="1"/>
      <c r="S56" s="1"/>
      <c r="U56"/>
      <c r="V56"/>
    </row>
    <row r="57" spans="3:22" x14ac:dyDescent="0.3">
      <c r="C57" s="95"/>
      <c r="D57" s="1"/>
      <c r="E57" s="95"/>
      <c r="I57" s="1"/>
      <c r="M57" s="1"/>
      <c r="R57" s="1"/>
      <c r="S57" s="1"/>
      <c r="U57"/>
      <c r="V57"/>
    </row>
    <row r="58" spans="3:22" x14ac:dyDescent="0.3">
      <c r="C58" s="95"/>
      <c r="D58" s="1"/>
      <c r="E58" s="95"/>
      <c r="I58" s="1"/>
      <c r="M58" s="1"/>
      <c r="R58" s="1"/>
      <c r="S58" s="1"/>
      <c r="U58"/>
      <c r="V58"/>
    </row>
    <row r="59" spans="3:22" x14ac:dyDescent="0.3">
      <c r="C59" s="95"/>
      <c r="D59" s="1"/>
      <c r="E59" s="95"/>
      <c r="I59" s="1"/>
      <c r="M59" s="1"/>
      <c r="R59" s="1"/>
      <c r="S59" s="1"/>
      <c r="U59"/>
      <c r="V59"/>
    </row>
    <row r="60" spans="3:22" x14ac:dyDescent="0.3">
      <c r="C60" s="95"/>
      <c r="D60" s="1"/>
      <c r="E60" s="95"/>
      <c r="I60" s="1"/>
      <c r="M60" s="1"/>
      <c r="R60" s="1"/>
      <c r="S60" s="1"/>
      <c r="U60"/>
      <c r="V60"/>
    </row>
    <row r="61" spans="3:22" x14ac:dyDescent="0.3">
      <c r="C61" s="95"/>
      <c r="D61" s="1"/>
      <c r="E61" s="95"/>
      <c r="I61" s="1"/>
      <c r="M61" s="1"/>
      <c r="R61" s="1"/>
      <c r="S61" s="1"/>
      <c r="U61"/>
      <c r="V61"/>
    </row>
    <row r="62" spans="3:22" x14ac:dyDescent="0.3">
      <c r="C62" s="95"/>
      <c r="D62" s="1"/>
      <c r="E62" s="95"/>
      <c r="I62" s="1"/>
      <c r="M62" s="1"/>
      <c r="R62" s="1"/>
      <c r="S62" s="1"/>
      <c r="U62"/>
      <c r="V62"/>
    </row>
    <row r="63" spans="3:22" x14ac:dyDescent="0.3">
      <c r="C63" s="95"/>
      <c r="D63" s="1"/>
      <c r="E63" s="95"/>
      <c r="I63" s="1"/>
      <c r="M63" s="1"/>
      <c r="R63" s="1"/>
      <c r="S63" s="1"/>
      <c r="U63"/>
      <c r="V63"/>
    </row>
    <row r="64" spans="3:22" x14ac:dyDescent="0.3">
      <c r="C64" s="95"/>
      <c r="D64" s="1"/>
      <c r="E64" s="95"/>
      <c r="I64" s="1"/>
      <c r="M64" s="1"/>
      <c r="R64" s="1"/>
      <c r="S64" s="1"/>
      <c r="U64"/>
      <c r="V64"/>
    </row>
    <row r="65" spans="3:22" x14ac:dyDescent="0.3">
      <c r="C65" s="95"/>
      <c r="D65" s="1"/>
      <c r="E65" s="95"/>
      <c r="I65" s="1"/>
      <c r="M65" s="1"/>
      <c r="R65" s="1"/>
      <c r="S65" s="1"/>
      <c r="U65"/>
      <c r="V65"/>
    </row>
    <row r="66" spans="3:22" x14ac:dyDescent="0.3">
      <c r="C66" s="95"/>
      <c r="D66" s="1"/>
      <c r="E66" s="95"/>
      <c r="I66" s="1"/>
      <c r="M66" s="1"/>
      <c r="R66" s="1"/>
      <c r="S66" s="1"/>
      <c r="U66"/>
      <c r="V66"/>
    </row>
    <row r="67" spans="3:22" x14ac:dyDescent="0.3">
      <c r="C67" s="95"/>
      <c r="D67" s="1"/>
      <c r="E67" s="95"/>
      <c r="I67" s="1"/>
      <c r="M67" s="1"/>
      <c r="R67" s="1"/>
      <c r="S67" s="1"/>
      <c r="U67"/>
      <c r="V67"/>
    </row>
    <row r="68" spans="3:22" x14ac:dyDescent="0.3">
      <c r="C68" s="95"/>
      <c r="D68" s="1"/>
      <c r="E68" s="95"/>
      <c r="I68" s="1"/>
      <c r="M68" s="1"/>
      <c r="R68" s="1"/>
      <c r="S68" s="1"/>
      <c r="U68"/>
      <c r="V68"/>
    </row>
    <row r="69" spans="3:22" x14ac:dyDescent="0.3">
      <c r="C69" s="95"/>
      <c r="D69" s="1"/>
      <c r="E69" s="95"/>
      <c r="I69" s="1"/>
      <c r="M69" s="1"/>
      <c r="R69" s="1"/>
      <c r="S69" s="1"/>
      <c r="U69"/>
      <c r="V69"/>
    </row>
    <row r="70" spans="3:22" x14ac:dyDescent="0.3">
      <c r="C70" s="95"/>
      <c r="D70" s="1"/>
      <c r="E70" s="95"/>
      <c r="I70" s="1"/>
      <c r="M70" s="1"/>
      <c r="R70" s="1"/>
      <c r="S70" s="1"/>
      <c r="U70"/>
      <c r="V70"/>
    </row>
    <row r="71" spans="3:22" x14ac:dyDescent="0.3">
      <c r="C71" s="95"/>
      <c r="D71" s="1"/>
      <c r="E71" s="95"/>
      <c r="I71" s="1"/>
      <c r="M71" s="1"/>
      <c r="R71" s="1"/>
      <c r="S71" s="1"/>
      <c r="U71"/>
      <c r="V71"/>
    </row>
    <row r="72" spans="3:22" x14ac:dyDescent="0.3">
      <c r="C72" s="95"/>
      <c r="D72" s="1"/>
      <c r="E72" s="95"/>
      <c r="I72" s="1"/>
      <c r="M72" s="1"/>
      <c r="R72" s="1"/>
      <c r="S72" s="1"/>
      <c r="U72"/>
      <c r="V72"/>
    </row>
    <row r="73" spans="3:22" x14ac:dyDescent="0.3">
      <c r="C73" s="95"/>
      <c r="D73" s="1"/>
      <c r="E73" s="95"/>
      <c r="I73" s="1"/>
      <c r="M73" s="1"/>
      <c r="R73" s="1"/>
      <c r="S73" s="1"/>
      <c r="U73"/>
      <c r="V73"/>
    </row>
    <row r="74" spans="3:22" x14ac:dyDescent="0.3">
      <c r="C74" s="95"/>
      <c r="D74" s="1"/>
      <c r="E74" s="95"/>
      <c r="I74" s="1"/>
      <c r="M74" s="1"/>
      <c r="R74" s="1"/>
      <c r="S74" s="1"/>
      <c r="U74"/>
      <c r="V74"/>
    </row>
    <row r="75" spans="3:22" x14ac:dyDescent="0.3">
      <c r="C75" s="95"/>
      <c r="D75" s="1"/>
      <c r="E75" s="95"/>
      <c r="I75" s="1"/>
      <c r="M75" s="1"/>
      <c r="R75" s="1"/>
      <c r="S75" s="1"/>
      <c r="U75"/>
      <c r="V75"/>
    </row>
    <row r="76" spans="3:22" x14ac:dyDescent="0.3">
      <c r="C76" s="95"/>
      <c r="D76" s="1"/>
      <c r="E76" s="95"/>
      <c r="I76" s="1"/>
      <c r="M76" s="1"/>
      <c r="R76" s="1"/>
      <c r="S76" s="1"/>
      <c r="U76"/>
      <c r="V76"/>
    </row>
    <row r="77" spans="3:22" x14ac:dyDescent="0.3">
      <c r="C77" s="95"/>
      <c r="D77" s="1"/>
      <c r="E77" s="95"/>
      <c r="I77" s="1"/>
      <c r="M77" s="1"/>
      <c r="R77" s="1"/>
      <c r="S77" s="1"/>
      <c r="U77"/>
      <c r="V77"/>
    </row>
    <row r="78" spans="3:22" x14ac:dyDescent="0.3">
      <c r="C78" s="95"/>
      <c r="D78" s="1"/>
      <c r="E78" s="95"/>
      <c r="I78" s="1"/>
      <c r="M78" s="1"/>
      <c r="R78" s="1"/>
      <c r="S78" s="1"/>
      <c r="U78"/>
      <c r="V78"/>
    </row>
    <row r="79" spans="3:22" x14ac:dyDescent="0.3">
      <c r="C79" s="95"/>
      <c r="D79" s="1"/>
      <c r="E79" s="95"/>
      <c r="I79" s="1"/>
      <c r="M79" s="1"/>
      <c r="R79" s="1"/>
      <c r="S79" s="1"/>
      <c r="U79"/>
      <c r="V79"/>
    </row>
    <row r="80" spans="3:22" x14ac:dyDescent="0.3">
      <c r="C80" s="95"/>
      <c r="D80" s="1"/>
      <c r="E80" s="95"/>
      <c r="I80" s="1"/>
      <c r="M80" s="1"/>
      <c r="R80" s="1"/>
      <c r="S80" s="1"/>
      <c r="U80"/>
      <c r="V80"/>
    </row>
    <row r="81" spans="3:22" x14ac:dyDescent="0.3">
      <c r="C81" s="95"/>
      <c r="D81" s="1"/>
      <c r="E81" s="95"/>
      <c r="I81" s="1"/>
      <c r="M81" s="1"/>
      <c r="R81" s="1"/>
      <c r="S81" s="1"/>
      <c r="U81"/>
      <c r="V81"/>
    </row>
    <row r="82" spans="3:22" x14ac:dyDescent="0.3">
      <c r="C82" s="95"/>
      <c r="D82" s="1"/>
      <c r="E82" s="95"/>
      <c r="I82" s="1"/>
      <c r="M82" s="1"/>
      <c r="R82" s="1"/>
      <c r="S82" s="1"/>
      <c r="U82"/>
      <c r="V82"/>
    </row>
    <row r="83" spans="3:22" x14ac:dyDescent="0.3">
      <c r="C83" s="95"/>
      <c r="D83" s="1"/>
      <c r="E83" s="95"/>
      <c r="I83" s="1"/>
      <c r="M83" s="1"/>
      <c r="R83" s="1"/>
      <c r="S83" s="1"/>
      <c r="U83"/>
      <c r="V83"/>
    </row>
    <row r="84" spans="3:22" x14ac:dyDescent="0.3">
      <c r="C84" s="95"/>
      <c r="D84" s="1"/>
      <c r="E84" s="95"/>
      <c r="I84" s="1"/>
      <c r="M84" s="1"/>
      <c r="R84" s="1"/>
      <c r="S84" s="1"/>
      <c r="U84"/>
      <c r="V84"/>
    </row>
    <row r="85" spans="3:22" x14ac:dyDescent="0.3">
      <c r="C85" s="95"/>
      <c r="D85" s="1"/>
      <c r="E85" s="95"/>
      <c r="I85" s="1"/>
      <c r="M85" s="1"/>
      <c r="R85" s="1"/>
      <c r="S85" s="1"/>
    </row>
    <row r="86" spans="3:22" x14ac:dyDescent="0.3">
      <c r="C86" s="95"/>
      <c r="D86" s="1"/>
      <c r="E86" s="95"/>
      <c r="I86" s="1"/>
      <c r="M86" s="1"/>
      <c r="R86" s="1"/>
      <c r="S86" s="1"/>
    </row>
    <row r="87" spans="3:22" x14ac:dyDescent="0.3">
      <c r="C87" s="95"/>
      <c r="D87" s="1"/>
      <c r="E87" s="95"/>
      <c r="I87" s="1"/>
      <c r="M87" s="1"/>
      <c r="R87" s="1"/>
      <c r="S87" s="1"/>
    </row>
    <row r="88" spans="3:22" x14ac:dyDescent="0.3">
      <c r="C88" s="95"/>
      <c r="D88" s="1"/>
      <c r="E88" s="95"/>
      <c r="I88" s="1"/>
      <c r="M88" s="1"/>
      <c r="R88" s="1"/>
      <c r="S88" s="1"/>
    </row>
    <row r="89" spans="3:22" x14ac:dyDescent="0.3">
      <c r="C89" s="95"/>
      <c r="D89" s="1"/>
      <c r="E89" s="95"/>
      <c r="I89" s="1"/>
      <c r="M89" s="1"/>
      <c r="R89" s="1"/>
      <c r="S89" s="1"/>
    </row>
    <row r="90" spans="3:22" x14ac:dyDescent="0.3">
      <c r="C90" s="95"/>
      <c r="D90" s="1"/>
      <c r="E90" s="95"/>
      <c r="I90" s="1"/>
      <c r="M90" s="1"/>
      <c r="R90" s="1"/>
      <c r="S90" s="1"/>
    </row>
    <row r="91" spans="3:22" x14ac:dyDescent="0.3">
      <c r="C91" s="95"/>
      <c r="D91" s="1"/>
      <c r="E91" s="95"/>
      <c r="I91" s="1"/>
      <c r="M91" s="1"/>
      <c r="R91" s="1"/>
      <c r="S91" s="1"/>
    </row>
    <row r="92" spans="3:22" x14ac:dyDescent="0.3">
      <c r="C92" s="95"/>
      <c r="D92" s="1"/>
      <c r="E92" s="95"/>
      <c r="I92" s="1"/>
      <c r="M92" s="1"/>
      <c r="R92" s="1"/>
      <c r="S92" s="1"/>
    </row>
    <row r="93" spans="3:22" x14ac:dyDescent="0.3">
      <c r="C93" s="95"/>
      <c r="D93" s="1"/>
      <c r="E93" s="95"/>
      <c r="I93" s="1"/>
      <c r="M93" s="1"/>
      <c r="R93" s="1"/>
      <c r="S93" s="1"/>
    </row>
    <row r="94" spans="3:22" x14ac:dyDescent="0.3">
      <c r="C94" s="95"/>
      <c r="E94" s="95"/>
      <c r="I94" s="1"/>
      <c r="M94" s="1"/>
      <c r="R94" s="1"/>
      <c r="S94" s="1"/>
    </row>
    <row r="95" spans="3:22" x14ac:dyDescent="0.3">
      <c r="C95" s="95"/>
      <c r="E95" s="95"/>
      <c r="I95" s="1"/>
      <c r="M95" s="1"/>
      <c r="R95" s="1"/>
      <c r="S95" s="1"/>
    </row>
    <row r="96" spans="3:22" x14ac:dyDescent="0.3">
      <c r="C96" s="95"/>
      <c r="E96" s="95"/>
      <c r="I96" s="1"/>
      <c r="M96" s="1"/>
      <c r="R96" s="1"/>
      <c r="S96" s="1"/>
    </row>
    <row r="97" spans="3:19" x14ac:dyDescent="0.3">
      <c r="C97" s="95"/>
      <c r="D97" s="1"/>
      <c r="E97" s="95"/>
      <c r="I97" s="1"/>
      <c r="M97" s="1"/>
      <c r="R97" s="1"/>
      <c r="S97" s="1"/>
    </row>
    <row r="98" spans="3:19" x14ac:dyDescent="0.3">
      <c r="C98" s="95"/>
      <c r="E98" s="95"/>
      <c r="I98" s="1"/>
      <c r="M98" s="1"/>
      <c r="R98" s="1"/>
      <c r="S98" s="1"/>
    </row>
  </sheetData>
  <conditionalFormatting sqref="D2:Q7">
    <cfRule type="expression" dxfId="7" priority="5">
      <formula>$I2="Cancelada"</formula>
    </cfRule>
    <cfRule type="expression" dxfId="6" priority="6">
      <formula>$I2="Substituida"</formula>
    </cfRule>
    <cfRule type="expression" dxfId="5" priority="8">
      <formula>$I2="Emitida"</formula>
    </cfRule>
  </conditionalFormatting>
  <conditionalFormatting sqref="K2:L7">
    <cfRule type="expression" dxfId="4" priority="2">
      <formula>$K2="NÃO"</formula>
    </cfRule>
    <cfRule type="expression" dxfId="3" priority="3">
      <formula>$K2="SIM"</formula>
    </cfRule>
    <cfRule type="expression" dxfId="2" priority="7">
      <formula>$K2="SIM"</formula>
    </cfRule>
  </conditionalFormatting>
  <conditionalFormatting sqref="M2:N7">
    <cfRule type="expression" dxfId="1" priority="1">
      <formula>$M2="NÃO"</formula>
    </cfRule>
    <cfRule type="expression" dxfId="0" priority="4">
      <formula>$M2="SIM"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935E-3821-4DEE-B786-DEB99AA7260F}">
  <sheetPr>
    <tabColor theme="8" tint="-0.499984740745262"/>
  </sheetPr>
  <dimension ref="A1:G21"/>
  <sheetViews>
    <sheetView showGridLines="0" topLeftCell="B1" zoomScale="90" zoomScaleNormal="90" workbookViewId="0">
      <selection activeCell="B33" sqref="B33"/>
    </sheetView>
  </sheetViews>
  <sheetFormatPr defaultRowHeight="16.5" x14ac:dyDescent="0.3"/>
  <cols>
    <col min="1" max="1" width="10.625" bestFit="1" customWidth="1"/>
    <col min="2" max="2" width="116.5" customWidth="1"/>
    <col min="3" max="3" width="15.75" bestFit="1" customWidth="1"/>
    <col min="4" max="4" width="4.875" customWidth="1"/>
    <col min="5" max="5" width="46.5" bestFit="1" customWidth="1"/>
    <col min="6" max="6" width="14.5" customWidth="1"/>
    <col min="7" max="7" width="10.5" style="1" bestFit="1" customWidth="1"/>
  </cols>
  <sheetData>
    <row r="1" spans="1:7" x14ac:dyDescent="0.3">
      <c r="A1" s="2" t="s">
        <v>372</v>
      </c>
      <c r="B1" s="3" t="s">
        <v>870</v>
      </c>
      <c r="C1" t="s">
        <v>918</v>
      </c>
      <c r="E1" t="s">
        <v>981</v>
      </c>
      <c r="F1" s="184" t="s">
        <v>982</v>
      </c>
      <c r="G1" s="185" t="s">
        <v>983</v>
      </c>
    </row>
    <row r="2" spans="1:7" x14ac:dyDescent="0.3">
      <c r="A2" s="1">
        <v>1201</v>
      </c>
      <c r="B2" t="s">
        <v>919</v>
      </c>
      <c r="C2" t="s">
        <v>920</v>
      </c>
      <c r="E2" t="s">
        <v>993</v>
      </c>
      <c r="F2" s="184">
        <v>790</v>
      </c>
      <c r="G2" s="185"/>
    </row>
    <row r="3" spans="1:7" x14ac:dyDescent="0.3">
      <c r="A3" s="1">
        <v>1202</v>
      </c>
      <c r="B3" t="s">
        <v>921</v>
      </c>
      <c r="C3" t="s">
        <v>922</v>
      </c>
      <c r="E3" t="s">
        <v>991</v>
      </c>
      <c r="F3" s="184">
        <v>1590</v>
      </c>
      <c r="G3" s="185"/>
    </row>
    <row r="4" spans="1:7" x14ac:dyDescent="0.3">
      <c r="A4" s="1">
        <v>2201</v>
      </c>
      <c r="B4" t="s">
        <v>919</v>
      </c>
      <c r="C4" t="s">
        <v>871</v>
      </c>
      <c r="E4" t="s">
        <v>992</v>
      </c>
      <c r="F4" s="184">
        <v>1790</v>
      </c>
      <c r="G4" s="185"/>
    </row>
    <row r="5" spans="1:7" x14ac:dyDescent="0.3">
      <c r="A5" s="170">
        <v>2202</v>
      </c>
      <c r="B5" s="171" t="s">
        <v>921</v>
      </c>
      <c r="C5" t="s">
        <v>871</v>
      </c>
      <c r="E5" t="s">
        <v>994</v>
      </c>
      <c r="F5" s="184">
        <v>260</v>
      </c>
      <c r="G5" s="185"/>
    </row>
    <row r="6" spans="1:7" x14ac:dyDescent="0.3">
      <c r="A6" s="1">
        <v>5101</v>
      </c>
      <c r="B6" t="s">
        <v>923</v>
      </c>
      <c r="C6" t="s">
        <v>920</v>
      </c>
      <c r="E6" t="s">
        <v>984</v>
      </c>
      <c r="F6" s="184">
        <v>470</v>
      </c>
      <c r="G6" s="185">
        <v>20</v>
      </c>
    </row>
    <row r="7" spans="1:7" x14ac:dyDescent="0.3">
      <c r="A7" s="170">
        <v>5102</v>
      </c>
      <c r="B7" s="171" t="s">
        <v>924</v>
      </c>
      <c r="C7" t="s">
        <v>920</v>
      </c>
      <c r="E7" t="s">
        <v>985</v>
      </c>
      <c r="F7" s="184">
        <v>470</v>
      </c>
      <c r="G7" s="185">
        <v>25</v>
      </c>
    </row>
    <row r="8" spans="1:7" x14ac:dyDescent="0.3">
      <c r="A8" s="170">
        <v>5103</v>
      </c>
      <c r="B8" s="171" t="s">
        <v>925</v>
      </c>
      <c r="C8" t="s">
        <v>920</v>
      </c>
      <c r="E8" t="s">
        <v>986</v>
      </c>
      <c r="F8" s="184">
        <v>570</v>
      </c>
      <c r="G8" s="185">
        <v>30</v>
      </c>
    </row>
    <row r="9" spans="1:7" x14ac:dyDescent="0.3">
      <c r="A9" s="170">
        <v>5107</v>
      </c>
      <c r="B9" s="171" t="s">
        <v>926</v>
      </c>
      <c r="C9" t="s">
        <v>920</v>
      </c>
      <c r="E9" t="s">
        <v>987</v>
      </c>
      <c r="F9" s="184">
        <v>620</v>
      </c>
      <c r="G9" s="185">
        <v>37.5</v>
      </c>
    </row>
    <row r="10" spans="1:7" x14ac:dyDescent="0.3">
      <c r="A10" s="170">
        <v>5403</v>
      </c>
      <c r="B10" s="171" t="s">
        <v>927</v>
      </c>
      <c r="C10" t="s">
        <v>920</v>
      </c>
      <c r="E10" t="s">
        <v>995</v>
      </c>
      <c r="F10" s="184">
        <v>470</v>
      </c>
      <c r="G10" s="185">
        <v>25</v>
      </c>
    </row>
    <row r="11" spans="1:7" x14ac:dyDescent="0.3">
      <c r="A11" s="1">
        <v>5405</v>
      </c>
      <c r="B11" t="s">
        <v>927</v>
      </c>
      <c r="C11" t="s">
        <v>920</v>
      </c>
      <c r="E11" t="s">
        <v>996</v>
      </c>
      <c r="F11" s="184">
        <v>470</v>
      </c>
      <c r="G11" s="185">
        <v>30</v>
      </c>
    </row>
    <row r="12" spans="1:7" x14ac:dyDescent="0.3">
      <c r="A12" s="1">
        <v>5901</v>
      </c>
      <c r="B12" t="s">
        <v>928</v>
      </c>
      <c r="C12" t="s">
        <v>920</v>
      </c>
      <c r="E12" t="s">
        <v>988</v>
      </c>
      <c r="F12" s="184">
        <v>1350</v>
      </c>
      <c r="G12" s="185"/>
    </row>
    <row r="13" spans="1:7" x14ac:dyDescent="0.3">
      <c r="A13" s="170">
        <v>5916</v>
      </c>
      <c r="B13" s="171" t="s">
        <v>929</v>
      </c>
      <c r="C13" t="s">
        <v>920</v>
      </c>
      <c r="E13" t="s">
        <v>989</v>
      </c>
      <c r="F13" s="184">
        <v>0</v>
      </c>
      <c r="G13" s="185">
        <v>85</v>
      </c>
    </row>
    <row r="14" spans="1:7" x14ac:dyDescent="0.3">
      <c r="A14" s="170">
        <v>5949</v>
      </c>
      <c r="B14" s="171" t="s">
        <v>930</v>
      </c>
      <c r="C14" t="s">
        <v>920</v>
      </c>
      <c r="E14" t="s">
        <v>990</v>
      </c>
      <c r="F14" s="184">
        <v>1150</v>
      </c>
      <c r="G14" s="185"/>
    </row>
    <row r="15" spans="1:7" x14ac:dyDescent="0.3">
      <c r="A15" s="170">
        <v>6102</v>
      </c>
      <c r="B15" s="171" t="s">
        <v>924</v>
      </c>
      <c r="C15" t="s">
        <v>871</v>
      </c>
    </row>
    <row r="16" spans="1:7" x14ac:dyDescent="0.3">
      <c r="A16" s="1">
        <v>6107</v>
      </c>
      <c r="B16" t="s">
        <v>931</v>
      </c>
      <c r="C16" t="s">
        <v>871</v>
      </c>
    </row>
    <row r="17" spans="1:3" x14ac:dyDescent="0.3">
      <c r="A17" s="1">
        <v>6108</v>
      </c>
      <c r="B17" t="s">
        <v>932</v>
      </c>
      <c r="C17" t="s">
        <v>871</v>
      </c>
    </row>
    <row r="18" spans="1:3" x14ac:dyDescent="0.3">
      <c r="A18" s="170">
        <v>6202</v>
      </c>
      <c r="B18" s="171" t="s">
        <v>921</v>
      </c>
      <c r="C18" t="s">
        <v>871</v>
      </c>
    </row>
    <row r="19" spans="1:3" x14ac:dyDescent="0.3">
      <c r="A19" s="170">
        <v>6404</v>
      </c>
      <c r="B19" s="171" t="s">
        <v>933</v>
      </c>
      <c r="C19" t="s">
        <v>871</v>
      </c>
    </row>
    <row r="20" spans="1:3" x14ac:dyDescent="0.3">
      <c r="A20" s="1">
        <v>6901</v>
      </c>
      <c r="B20" t="s">
        <v>928</v>
      </c>
      <c r="C20" t="s">
        <v>871</v>
      </c>
    </row>
    <row r="21" spans="1:3" x14ac:dyDescent="0.3">
      <c r="A21" s="1">
        <v>6949</v>
      </c>
      <c r="B21" t="s">
        <v>930</v>
      </c>
      <c r="C21" t="s">
        <v>871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1A82-4AC0-4B94-BDE0-82662E2A19D7}">
  <sheetPr>
    <tabColor theme="8" tint="-0.499984740745262"/>
  </sheetPr>
  <dimension ref="A1:J37"/>
  <sheetViews>
    <sheetView showGridLines="0" workbookViewId="0">
      <selection activeCell="J20" sqref="J20"/>
    </sheetView>
  </sheetViews>
  <sheetFormatPr defaultRowHeight="16.5" x14ac:dyDescent="0.3"/>
  <cols>
    <col min="1" max="1" width="23.25" bestFit="1" customWidth="1"/>
    <col min="2" max="2" width="15" bestFit="1" customWidth="1"/>
    <col min="4" max="4" width="13.875" bestFit="1" customWidth="1"/>
    <col min="5" max="9" width="13.25" bestFit="1" customWidth="1"/>
    <col min="10" max="10" width="15" bestFit="1" customWidth="1"/>
  </cols>
  <sheetData>
    <row r="1" spans="1:10" ht="17.25" thickBot="1" x14ac:dyDescent="0.35">
      <c r="A1" s="336">
        <v>2026</v>
      </c>
      <c r="B1" s="337"/>
      <c r="D1" s="262" t="s">
        <v>1095</v>
      </c>
      <c r="E1" s="279">
        <v>45962</v>
      </c>
      <c r="F1" s="263">
        <v>45992</v>
      </c>
      <c r="G1" s="264">
        <v>46023</v>
      </c>
      <c r="H1" s="264">
        <v>46054</v>
      </c>
      <c r="I1" s="264">
        <v>46082</v>
      </c>
      <c r="J1" s="265" t="s">
        <v>1143</v>
      </c>
    </row>
    <row r="2" spans="1:10" x14ac:dyDescent="0.3">
      <c r="A2" s="288" t="s">
        <v>1094</v>
      </c>
      <c r="B2" s="291">
        <v>30820.02</v>
      </c>
      <c r="D2" s="261" t="s">
        <v>1093</v>
      </c>
      <c r="E2" s="268">
        <v>11549.99</v>
      </c>
      <c r="F2" s="267">
        <v>7440</v>
      </c>
      <c r="G2" s="267">
        <v>10826.07</v>
      </c>
      <c r="H2" s="267">
        <v>8218</v>
      </c>
      <c r="I2" s="267">
        <v>8387</v>
      </c>
      <c r="J2" s="277">
        <f>AVERAGE(E2:I2)</f>
        <v>9284.2119999999995</v>
      </c>
    </row>
    <row r="3" spans="1:10" x14ac:dyDescent="0.3">
      <c r="A3" s="289" t="s">
        <v>1103</v>
      </c>
      <c r="B3" s="292">
        <f>B2/12</f>
        <v>2568.335</v>
      </c>
      <c r="D3" t="s">
        <v>1097</v>
      </c>
      <c r="E3" s="269">
        <v>2043.08</v>
      </c>
      <c r="F3" s="266">
        <v>500.68</v>
      </c>
      <c r="G3" s="266">
        <v>3160.74</v>
      </c>
      <c r="H3" s="266">
        <v>8097.16</v>
      </c>
      <c r="I3" s="266">
        <v>314.74</v>
      </c>
      <c r="J3" s="278">
        <f>AVERAGE(E3:H3)</f>
        <v>3450.415</v>
      </c>
    </row>
    <row r="4" spans="1:10" ht="17.25" thickBot="1" x14ac:dyDescent="0.35">
      <c r="A4" s="290" t="s">
        <v>1131</v>
      </c>
      <c r="B4" s="293">
        <v>1497.96</v>
      </c>
      <c r="D4" t="s">
        <v>1096</v>
      </c>
      <c r="E4" s="269">
        <v>7106.74</v>
      </c>
      <c r="F4" s="266">
        <v>13898.09</v>
      </c>
      <c r="G4" s="266">
        <v>12241.4</v>
      </c>
      <c r="H4" s="266">
        <v>7534.82</v>
      </c>
      <c r="I4" s="266">
        <v>0</v>
      </c>
      <c r="J4" s="278">
        <f>AVERAGE(E4:H4)</f>
        <v>10195.262500000001</v>
      </c>
    </row>
    <row r="5" spans="1:10" ht="17.25" thickBot="1" x14ac:dyDescent="0.35">
      <c r="D5" t="s">
        <v>1104</v>
      </c>
      <c r="E5" s="269">
        <v>8766.8899999999976</v>
      </c>
      <c r="F5" s="280">
        <v>19447.759999999998</v>
      </c>
      <c r="G5" s="266">
        <v>3169.01</v>
      </c>
      <c r="H5" s="266">
        <v>7793.4800000000005</v>
      </c>
      <c r="I5" s="266">
        <v>4492.59</v>
      </c>
      <c r="J5" s="278">
        <f>AVERAGE(E5:H5)</f>
        <v>9794.2849999999999</v>
      </c>
    </row>
    <row r="6" spans="1:10" ht="17.25" thickBot="1" x14ac:dyDescent="0.35">
      <c r="A6" s="336" t="s">
        <v>1100</v>
      </c>
      <c r="B6" s="337"/>
      <c r="D6" t="s">
        <v>1108</v>
      </c>
      <c r="E6" s="269">
        <v>3504.56</v>
      </c>
      <c r="F6" s="266">
        <v>3486.2299999999996</v>
      </c>
      <c r="G6" s="266">
        <v>2373.87</v>
      </c>
      <c r="H6" s="266">
        <v>4155.2700000000004</v>
      </c>
      <c r="I6" s="266">
        <v>1376.97</v>
      </c>
      <c r="J6" s="278">
        <f>AVERAGE(E6:H6)</f>
        <v>3379.9825000000001</v>
      </c>
    </row>
    <row r="7" spans="1:10" x14ac:dyDescent="0.3">
      <c r="A7" s="273" t="s">
        <v>1093</v>
      </c>
      <c r="B7" s="270">
        <f>J2</f>
        <v>9284.2119999999995</v>
      </c>
      <c r="D7" t="s">
        <v>1127</v>
      </c>
      <c r="E7" s="269">
        <v>9762.2099999999991</v>
      </c>
      <c r="F7" s="266">
        <v>5354.36</v>
      </c>
      <c r="G7" s="266">
        <v>9074.34</v>
      </c>
      <c r="H7" s="266">
        <v>4547.55</v>
      </c>
      <c r="I7" s="266">
        <v>7290.02</v>
      </c>
      <c r="J7" s="278">
        <f>AVERAGE(E7:I7)</f>
        <v>7205.695999999999</v>
      </c>
    </row>
    <row r="8" spans="1:10" x14ac:dyDescent="0.3">
      <c r="A8" s="274" t="s">
        <v>1097</v>
      </c>
      <c r="B8" s="271">
        <f>J3</f>
        <v>3450.415</v>
      </c>
      <c r="D8" t="s">
        <v>1129</v>
      </c>
      <c r="E8" s="269">
        <v>0</v>
      </c>
      <c r="F8" s="266">
        <v>900</v>
      </c>
      <c r="G8" s="266">
        <v>1860</v>
      </c>
      <c r="H8" s="266">
        <v>1409</v>
      </c>
      <c r="I8" s="266">
        <v>0</v>
      </c>
      <c r="J8" s="278">
        <f>AVERAGE(F8:H8)</f>
        <v>1389.6666666666667</v>
      </c>
    </row>
    <row r="9" spans="1:10" x14ac:dyDescent="0.3">
      <c r="A9" s="274" t="s">
        <v>1096</v>
      </c>
      <c r="B9" s="271">
        <f>J4</f>
        <v>10195.262500000001</v>
      </c>
      <c r="D9" t="s">
        <v>1130</v>
      </c>
      <c r="E9" s="269">
        <v>4885.51</v>
      </c>
      <c r="F9" s="266">
        <v>8402.17</v>
      </c>
      <c r="G9" s="266">
        <v>6651.34</v>
      </c>
      <c r="H9" s="266">
        <v>5334.16</v>
      </c>
      <c r="I9" s="266">
        <v>1621</v>
      </c>
      <c r="J9" s="278">
        <f>AVERAGE(E9:H9)</f>
        <v>6318.2950000000001</v>
      </c>
    </row>
    <row r="10" spans="1:10" ht="17.25" thickBot="1" x14ac:dyDescent="0.35">
      <c r="A10" s="275" t="s">
        <v>1094</v>
      </c>
      <c r="B10" s="272">
        <f>B3</f>
        <v>2568.335</v>
      </c>
      <c r="D10" t="s">
        <v>1132</v>
      </c>
      <c r="E10" s="269">
        <v>1196.82</v>
      </c>
      <c r="F10" s="266">
        <v>2720.0699999999997</v>
      </c>
      <c r="G10" s="266">
        <v>3123.93</v>
      </c>
      <c r="H10" s="266">
        <v>558.27</v>
      </c>
      <c r="I10" s="266">
        <v>558.27</v>
      </c>
      <c r="J10" s="278">
        <f>AVERAGE(E10:I10)</f>
        <v>1631.4720000000002</v>
      </c>
    </row>
    <row r="11" spans="1:10" ht="17.25" thickBot="1" x14ac:dyDescent="0.35">
      <c r="A11" s="217" t="s">
        <v>1099</v>
      </c>
      <c r="B11" s="276">
        <f>SUM(B7:B10)</f>
        <v>25498.2245</v>
      </c>
    </row>
    <row r="12" spans="1:10" ht="17.25" thickBot="1" x14ac:dyDescent="0.35"/>
    <row r="13" spans="1:10" ht="17.25" thickBot="1" x14ac:dyDescent="0.35">
      <c r="A13" s="336" t="s">
        <v>1128</v>
      </c>
      <c r="B13" s="337"/>
    </row>
    <row r="14" spans="1:10" x14ac:dyDescent="0.3">
      <c r="A14" s="273" t="s">
        <v>1093</v>
      </c>
      <c r="B14" s="270">
        <f>J7</f>
        <v>7205.695999999999</v>
      </c>
    </row>
    <row r="15" spans="1:10" x14ac:dyDescent="0.3">
      <c r="A15" s="274" t="s">
        <v>1097</v>
      </c>
      <c r="B15" s="271">
        <f>J8</f>
        <v>1389.6666666666667</v>
      </c>
    </row>
    <row r="16" spans="1:10" x14ac:dyDescent="0.3">
      <c r="A16" s="274" t="s">
        <v>1096</v>
      </c>
      <c r="B16" s="271">
        <f>J9</f>
        <v>6318.2950000000001</v>
      </c>
    </row>
    <row r="17" spans="1:2" ht="17.25" thickBot="1" x14ac:dyDescent="0.35">
      <c r="A17" s="275" t="s">
        <v>1094</v>
      </c>
      <c r="B17" s="272">
        <f>B4</f>
        <v>1497.96</v>
      </c>
    </row>
    <row r="18" spans="1:2" ht="17.25" thickBot="1" x14ac:dyDescent="0.35">
      <c r="A18" s="217" t="s">
        <v>1133</v>
      </c>
      <c r="B18" s="276">
        <f>SUM(B14:B17)</f>
        <v>16411.617666666665</v>
      </c>
    </row>
    <row r="19" spans="1:2" ht="17.25" thickBot="1" x14ac:dyDescent="0.35"/>
    <row r="20" spans="1:2" ht="17.25" thickBot="1" x14ac:dyDescent="0.35">
      <c r="A20" s="336" t="s">
        <v>1107</v>
      </c>
      <c r="B20" s="337"/>
    </row>
    <row r="21" spans="1:2" x14ac:dyDescent="0.3">
      <c r="A21" s="274" t="s">
        <v>1105</v>
      </c>
      <c r="B21" s="281">
        <f>J5</f>
        <v>9794.2849999999999</v>
      </c>
    </row>
    <row r="22" spans="1:2" ht="17.25" thickBot="1" x14ac:dyDescent="0.35">
      <c r="A22" t="s">
        <v>1106</v>
      </c>
      <c r="B22" s="282">
        <v>1770</v>
      </c>
    </row>
    <row r="23" spans="1:2" ht="17.25" thickBot="1" x14ac:dyDescent="0.35">
      <c r="A23" s="217" t="s">
        <v>1109</v>
      </c>
      <c r="B23" s="276">
        <f>SUM(B21:B22)</f>
        <v>11564.285</v>
      </c>
    </row>
    <row r="24" spans="1:2" ht="17.25" thickBot="1" x14ac:dyDescent="0.35">
      <c r="A24" s="217" t="s">
        <v>1134</v>
      </c>
      <c r="B24" s="276">
        <f>J10</f>
        <v>1631.4720000000002</v>
      </c>
    </row>
    <row r="25" spans="1:2" ht="17.25" thickBot="1" x14ac:dyDescent="0.35"/>
    <row r="26" spans="1:2" ht="17.25" thickBot="1" x14ac:dyDescent="0.35">
      <c r="A26" s="284" t="s">
        <v>1099</v>
      </c>
      <c r="B26" s="300">
        <f>B11+B18</f>
        <v>41909.842166666669</v>
      </c>
    </row>
    <row r="27" spans="1:2" ht="17.25" thickBot="1" x14ac:dyDescent="0.35">
      <c r="A27" s="284" t="s">
        <v>1109</v>
      </c>
      <c r="B27" s="211">
        <f>B23+B24</f>
        <v>13195.757</v>
      </c>
    </row>
    <row r="28" spans="1:2" ht="17.25" thickBot="1" x14ac:dyDescent="0.35">
      <c r="A28" s="284" t="s">
        <v>1110</v>
      </c>
      <c r="B28" s="283">
        <v>770</v>
      </c>
    </row>
    <row r="29" spans="1:2" ht="17.25" thickBot="1" x14ac:dyDescent="0.35">
      <c r="A29" s="284" t="s">
        <v>1111</v>
      </c>
      <c r="B29" s="212">
        <v>0.85</v>
      </c>
    </row>
    <row r="30" spans="1:2" ht="17.25" thickBot="1" x14ac:dyDescent="0.35">
      <c r="A30" s="284" t="s">
        <v>1112</v>
      </c>
      <c r="B30" s="287">
        <v>0.1188</v>
      </c>
    </row>
    <row r="31" spans="1:2" ht="17.25" thickBot="1" x14ac:dyDescent="0.35">
      <c r="A31" s="284" t="s">
        <v>1114</v>
      </c>
      <c r="B31" s="297">
        <f>Formulas!B18</f>
        <v>2</v>
      </c>
    </row>
    <row r="32" spans="1:2" ht="17.25" thickBot="1" x14ac:dyDescent="0.35">
      <c r="A32" s="284" t="s">
        <v>1115</v>
      </c>
      <c r="B32" s="297">
        <f>Formulas!B19</f>
        <v>8</v>
      </c>
    </row>
    <row r="33" spans="1:2" ht="17.25" thickBot="1" x14ac:dyDescent="0.35">
      <c r="A33" s="284" t="s">
        <v>1116</v>
      </c>
      <c r="B33" s="297">
        <f>Formulas!B20</f>
        <v>10</v>
      </c>
    </row>
    <row r="34" spans="1:2" ht="17.25" thickBot="1" x14ac:dyDescent="0.35">
      <c r="A34" s="284" t="s">
        <v>1117</v>
      </c>
      <c r="B34" s="297">
        <f>Formulas!B21</f>
        <v>50</v>
      </c>
    </row>
    <row r="35" spans="1:2" ht="17.25" thickBot="1" x14ac:dyDescent="0.35">
      <c r="B35" s="298"/>
    </row>
    <row r="36" spans="1:2" ht="17.25" thickBot="1" x14ac:dyDescent="0.35">
      <c r="A36" s="284" t="s">
        <v>1135</v>
      </c>
      <c r="B36" s="211">
        <f>B26/B28</f>
        <v>54.428366450216451</v>
      </c>
    </row>
    <row r="37" spans="1:2" ht="17.25" thickBot="1" x14ac:dyDescent="0.35">
      <c r="A37" s="284" t="s">
        <v>1136</v>
      </c>
      <c r="B37" s="299">
        <f>B27/B28</f>
        <v>17.137346753246753</v>
      </c>
    </row>
  </sheetData>
  <mergeCells count="4">
    <mergeCell ref="A6:B6"/>
    <mergeCell ref="A1:B1"/>
    <mergeCell ref="A20:B20"/>
    <mergeCell ref="A13:B13"/>
  </mergeCells>
  <pageMargins left="0.7" right="0.7" top="0.75" bottom="0.75" header="0.3" footer="0.3"/>
  <ignoredErrors>
    <ignoredError sqref="J3:J6 J9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A0FD-10CD-4C4A-A0A9-DBE702876745}">
  <sheetPr>
    <tabColor theme="8" tint="-0.499984740745262"/>
  </sheetPr>
  <dimension ref="A1:F216"/>
  <sheetViews>
    <sheetView showGridLines="0" workbookViewId="0">
      <pane ySplit="1" topLeftCell="A201" activePane="bottomLeft" state="frozen"/>
      <selection pane="bottomLeft" activeCell="E216" sqref="E216:F216"/>
    </sheetView>
  </sheetViews>
  <sheetFormatPr defaultRowHeight="16.5" x14ac:dyDescent="0.3"/>
  <cols>
    <col min="1" max="1" width="64.125" style="31" bestFit="1" customWidth="1"/>
    <col min="2" max="2" width="12.75" style="308" bestFit="1" customWidth="1"/>
    <col min="3" max="3" width="15.25" style="310" bestFit="1" customWidth="1"/>
    <col min="4" max="4" width="14.375" style="306" bestFit="1" customWidth="1"/>
    <col min="5" max="5" width="31.625" style="31" bestFit="1" customWidth="1"/>
    <col min="6" max="6" width="9" style="78"/>
  </cols>
  <sheetData>
    <row r="1" spans="1:6" x14ac:dyDescent="0.3">
      <c r="A1" s="331" t="s">
        <v>1236</v>
      </c>
      <c r="B1" s="307" t="s">
        <v>1239</v>
      </c>
      <c r="C1" s="25" t="s">
        <v>1612</v>
      </c>
      <c r="D1" s="306" t="s">
        <v>1219</v>
      </c>
      <c r="E1" s="31" t="s">
        <v>0</v>
      </c>
      <c r="F1" s="78" t="s">
        <v>1</v>
      </c>
    </row>
    <row r="2" spans="1:6" x14ac:dyDescent="0.3">
      <c r="A2" s="31" t="s">
        <v>1237</v>
      </c>
      <c r="B2" s="308" t="s">
        <v>1235</v>
      </c>
      <c r="C2" s="25">
        <v>3187.5</v>
      </c>
      <c r="D2" s="306">
        <v>3187.5</v>
      </c>
      <c r="E2" s="31" t="s">
        <v>1284</v>
      </c>
      <c r="F2" s="78">
        <v>1543</v>
      </c>
    </row>
    <row r="3" spans="1:6" x14ac:dyDescent="0.3">
      <c r="A3" s="31" t="s">
        <v>1283</v>
      </c>
      <c r="B3" s="308" t="s">
        <v>1235</v>
      </c>
      <c r="C3" s="25">
        <v>6824.6</v>
      </c>
      <c r="D3" s="306">
        <v>6824.6</v>
      </c>
      <c r="E3" s="31" t="s">
        <v>1282</v>
      </c>
      <c r="F3" s="78">
        <v>1556</v>
      </c>
    </row>
    <row r="4" spans="1:6" x14ac:dyDescent="0.3">
      <c r="A4" s="31" t="s">
        <v>1237</v>
      </c>
      <c r="B4" s="308" t="s">
        <v>1235</v>
      </c>
      <c r="C4" s="25">
        <v>2500</v>
      </c>
      <c r="D4" s="306">
        <v>2500</v>
      </c>
      <c r="E4" s="31" t="s">
        <v>1282</v>
      </c>
      <c r="F4" s="78">
        <v>1556</v>
      </c>
    </row>
    <row r="5" spans="1:6" x14ac:dyDescent="0.3">
      <c r="A5" s="31" t="s">
        <v>1281</v>
      </c>
      <c r="B5" s="308" t="s">
        <v>1235</v>
      </c>
      <c r="C5" s="25">
        <v>1280</v>
      </c>
      <c r="D5" s="306">
        <v>1280</v>
      </c>
      <c r="E5" s="31" t="s">
        <v>1265</v>
      </c>
      <c r="F5" s="78">
        <v>1575</v>
      </c>
    </row>
    <row r="6" spans="1:6" x14ac:dyDescent="0.3">
      <c r="A6" s="31" t="s">
        <v>1237</v>
      </c>
      <c r="B6" s="308" t="s">
        <v>1235</v>
      </c>
      <c r="C6" s="25">
        <v>3000</v>
      </c>
      <c r="D6" s="306">
        <v>3000</v>
      </c>
      <c r="E6" s="31" t="s">
        <v>1277</v>
      </c>
      <c r="F6" s="78">
        <v>1590</v>
      </c>
    </row>
    <row r="7" spans="1:6" x14ac:dyDescent="0.3">
      <c r="A7" s="31" t="s">
        <v>1234</v>
      </c>
      <c r="B7" s="308" t="s">
        <v>1235</v>
      </c>
      <c r="C7" s="25">
        <v>690</v>
      </c>
      <c r="D7" s="306">
        <v>690</v>
      </c>
      <c r="E7" s="31" t="s">
        <v>1277</v>
      </c>
      <c r="F7" s="78">
        <v>1590</v>
      </c>
    </row>
    <row r="8" spans="1:6" x14ac:dyDescent="0.3">
      <c r="A8" s="31" t="s">
        <v>1238</v>
      </c>
      <c r="B8" s="308" t="s">
        <v>1235</v>
      </c>
      <c r="C8" s="25">
        <v>790</v>
      </c>
      <c r="D8" s="306">
        <v>790</v>
      </c>
      <c r="E8" s="31" t="s">
        <v>1277</v>
      </c>
      <c r="F8" s="78">
        <v>1590</v>
      </c>
    </row>
    <row r="9" spans="1:6" x14ac:dyDescent="0.3">
      <c r="A9" s="31" t="s">
        <v>1271</v>
      </c>
      <c r="B9" s="308" t="s">
        <v>1235</v>
      </c>
      <c r="C9" s="25">
        <v>630</v>
      </c>
      <c r="D9" s="306">
        <v>630</v>
      </c>
      <c r="E9" s="31" t="s">
        <v>1273</v>
      </c>
      <c r="F9" s="78">
        <v>1636</v>
      </c>
    </row>
    <row r="10" spans="1:6" x14ac:dyDescent="0.3">
      <c r="A10" s="31" t="s">
        <v>1246</v>
      </c>
      <c r="B10" s="308" t="s">
        <v>1235</v>
      </c>
      <c r="C10" s="25">
        <v>890</v>
      </c>
      <c r="D10" s="306">
        <v>890</v>
      </c>
      <c r="E10" s="31" t="s">
        <v>1270</v>
      </c>
      <c r="F10" s="78">
        <v>1644</v>
      </c>
    </row>
    <row r="11" spans="1:6" x14ac:dyDescent="0.3">
      <c r="A11" s="31" t="s">
        <v>1272</v>
      </c>
      <c r="B11" s="308" t="s">
        <v>1261</v>
      </c>
      <c r="C11" s="25">
        <v>1150</v>
      </c>
      <c r="D11" s="306">
        <v>3450</v>
      </c>
      <c r="E11" s="31" t="s">
        <v>1263</v>
      </c>
      <c r="F11" s="78">
        <v>1653</v>
      </c>
    </row>
    <row r="12" spans="1:6" x14ac:dyDescent="0.3">
      <c r="A12" s="31" t="s">
        <v>1271</v>
      </c>
      <c r="B12" s="308" t="s">
        <v>1262</v>
      </c>
      <c r="C12" s="25">
        <v>500</v>
      </c>
      <c r="D12" s="306">
        <v>1000</v>
      </c>
      <c r="E12" s="31" t="s">
        <v>1263</v>
      </c>
      <c r="F12" s="78">
        <v>1653</v>
      </c>
    </row>
    <row r="13" spans="1:6" x14ac:dyDescent="0.3">
      <c r="A13" s="31" t="s">
        <v>1254</v>
      </c>
      <c r="B13" s="308" t="s">
        <v>1235</v>
      </c>
      <c r="C13" s="25">
        <v>750.5</v>
      </c>
      <c r="D13" s="306">
        <v>750.5</v>
      </c>
      <c r="E13" s="31" t="s">
        <v>1253</v>
      </c>
      <c r="F13" s="78">
        <v>1674</v>
      </c>
    </row>
    <row r="14" spans="1:6" x14ac:dyDescent="0.3">
      <c r="A14" s="31" t="s">
        <v>1237</v>
      </c>
      <c r="B14" s="308" t="s">
        <v>1235</v>
      </c>
      <c r="C14" s="25">
        <v>3000</v>
      </c>
      <c r="D14" s="306">
        <v>3000</v>
      </c>
      <c r="E14" s="31" t="s">
        <v>1314</v>
      </c>
      <c r="F14" s="78">
        <v>1695</v>
      </c>
    </row>
    <row r="15" spans="1:6" x14ac:dyDescent="0.3">
      <c r="A15" s="31" t="s">
        <v>1234</v>
      </c>
      <c r="B15" s="308" t="s">
        <v>1235</v>
      </c>
      <c r="C15" s="25">
        <v>625</v>
      </c>
      <c r="D15" s="306">
        <v>625</v>
      </c>
      <c r="E15" s="31" t="s">
        <v>1314</v>
      </c>
      <c r="F15" s="78">
        <v>1695</v>
      </c>
    </row>
    <row r="16" spans="1:6" x14ac:dyDescent="0.3">
      <c r="A16" s="31" t="s">
        <v>1238</v>
      </c>
      <c r="B16" s="308" t="s">
        <v>1235</v>
      </c>
      <c r="C16" s="25">
        <v>650</v>
      </c>
      <c r="D16" s="306">
        <v>650</v>
      </c>
      <c r="E16" s="31" t="s">
        <v>1314</v>
      </c>
      <c r="F16" s="78">
        <v>1695</v>
      </c>
    </row>
    <row r="17" spans="1:6" x14ac:dyDescent="0.3">
      <c r="A17" s="31" t="s">
        <v>1237</v>
      </c>
      <c r="B17" s="308" t="s">
        <v>1235</v>
      </c>
      <c r="C17" s="25">
        <v>3000</v>
      </c>
      <c r="D17" s="306">
        <v>3000</v>
      </c>
      <c r="E17" s="31" t="s">
        <v>1312</v>
      </c>
      <c r="F17" s="78">
        <v>1696</v>
      </c>
    </row>
    <row r="18" spans="1:6" x14ac:dyDescent="0.3">
      <c r="A18" s="31" t="s">
        <v>1237</v>
      </c>
      <c r="B18" s="308" t="s">
        <v>1235</v>
      </c>
      <c r="C18" s="25">
        <v>2500</v>
      </c>
      <c r="D18" s="306">
        <v>2500</v>
      </c>
      <c r="E18" s="31" t="s">
        <v>1311</v>
      </c>
      <c r="F18" s="78">
        <v>1697</v>
      </c>
    </row>
    <row r="19" spans="1:6" x14ac:dyDescent="0.3">
      <c r="A19" s="31" t="s">
        <v>1310</v>
      </c>
      <c r="B19" s="308" t="s">
        <v>1235</v>
      </c>
      <c r="C19" s="25">
        <v>1650</v>
      </c>
      <c r="D19" s="306">
        <v>1650</v>
      </c>
      <c r="E19" s="31" t="s">
        <v>1311</v>
      </c>
      <c r="F19" s="78">
        <v>1697</v>
      </c>
    </row>
    <row r="20" spans="1:6" x14ac:dyDescent="0.3">
      <c r="A20" s="31" t="s">
        <v>1237</v>
      </c>
      <c r="B20" s="308" t="s">
        <v>1235</v>
      </c>
      <c r="C20" s="25">
        <v>5000</v>
      </c>
      <c r="D20" s="306">
        <v>5000</v>
      </c>
      <c r="E20" s="31" t="s">
        <v>1307</v>
      </c>
      <c r="F20" s="78">
        <v>1698</v>
      </c>
    </row>
    <row r="21" spans="1:6" x14ac:dyDescent="0.3">
      <c r="A21" s="31" t="s">
        <v>1234</v>
      </c>
      <c r="B21" s="308" t="s">
        <v>1235</v>
      </c>
      <c r="C21" s="25">
        <v>590</v>
      </c>
      <c r="D21" s="306">
        <v>590</v>
      </c>
      <c r="E21" s="31" t="s">
        <v>1307</v>
      </c>
      <c r="F21" s="78">
        <v>1698</v>
      </c>
    </row>
    <row r="22" spans="1:6" x14ac:dyDescent="0.3">
      <c r="A22" s="31" t="s">
        <v>1238</v>
      </c>
      <c r="B22" s="308" t="s">
        <v>1235</v>
      </c>
      <c r="C22" s="25">
        <v>650</v>
      </c>
      <c r="D22" s="306">
        <v>650</v>
      </c>
      <c r="E22" s="31" t="s">
        <v>1307</v>
      </c>
      <c r="F22" s="78">
        <v>1698</v>
      </c>
    </row>
    <row r="23" spans="1:6" x14ac:dyDescent="0.3">
      <c r="A23" s="31" t="s">
        <v>1237</v>
      </c>
      <c r="B23" s="308" t="s">
        <v>1235</v>
      </c>
      <c r="C23" s="25">
        <v>3000</v>
      </c>
      <c r="D23" s="306">
        <v>3000</v>
      </c>
      <c r="E23" s="31" t="s">
        <v>1295</v>
      </c>
      <c r="F23" s="78">
        <v>1699</v>
      </c>
    </row>
    <row r="24" spans="1:6" x14ac:dyDescent="0.3">
      <c r="A24" s="31" t="s">
        <v>1234</v>
      </c>
      <c r="B24" s="308" t="s">
        <v>1235</v>
      </c>
      <c r="C24" s="25">
        <v>660</v>
      </c>
      <c r="D24" s="306">
        <v>660</v>
      </c>
      <c r="E24" s="31" t="s">
        <v>1295</v>
      </c>
      <c r="F24" s="78">
        <v>1699</v>
      </c>
    </row>
    <row r="25" spans="1:6" x14ac:dyDescent="0.3">
      <c r="A25" s="31" t="s">
        <v>1238</v>
      </c>
      <c r="B25" s="308" t="s">
        <v>1235</v>
      </c>
      <c r="C25" s="25">
        <v>650</v>
      </c>
      <c r="D25" s="306">
        <v>650</v>
      </c>
      <c r="E25" s="31" t="s">
        <v>1295</v>
      </c>
      <c r="F25" s="78">
        <v>1699</v>
      </c>
    </row>
    <row r="26" spans="1:6" x14ac:dyDescent="0.3">
      <c r="A26" s="31" t="s">
        <v>1246</v>
      </c>
      <c r="B26" s="308" t="s">
        <v>1235</v>
      </c>
      <c r="C26" s="25">
        <v>890</v>
      </c>
      <c r="D26" s="306">
        <v>890</v>
      </c>
      <c r="E26" s="31" t="s">
        <v>1294</v>
      </c>
      <c r="F26" s="78">
        <v>1700</v>
      </c>
    </row>
    <row r="27" spans="1:6" x14ac:dyDescent="0.3">
      <c r="A27" s="31" t="s">
        <v>1237</v>
      </c>
      <c r="B27" s="308" t="s">
        <v>1235</v>
      </c>
      <c r="C27" s="25">
        <v>3200</v>
      </c>
      <c r="D27" s="306">
        <v>3200</v>
      </c>
      <c r="E27" s="31" t="s">
        <v>1293</v>
      </c>
      <c r="F27" s="78">
        <v>1701</v>
      </c>
    </row>
    <row r="28" spans="1:6" x14ac:dyDescent="0.3">
      <c r="A28" s="31" t="s">
        <v>1234</v>
      </c>
      <c r="B28" s="308" t="s">
        <v>1235</v>
      </c>
      <c r="C28" s="25">
        <v>890</v>
      </c>
      <c r="D28" s="306">
        <v>890</v>
      </c>
      <c r="E28" s="31" t="s">
        <v>1293</v>
      </c>
      <c r="F28" s="78">
        <v>1701</v>
      </c>
    </row>
    <row r="29" spans="1:6" x14ac:dyDescent="0.3">
      <c r="A29" s="31" t="s">
        <v>1238</v>
      </c>
      <c r="B29" s="308" t="s">
        <v>1235</v>
      </c>
      <c r="C29" s="25">
        <v>725</v>
      </c>
      <c r="D29" s="306">
        <v>725</v>
      </c>
      <c r="E29" s="31" t="s">
        <v>1293</v>
      </c>
      <c r="F29" s="78">
        <v>1701</v>
      </c>
    </row>
    <row r="30" spans="1:6" x14ac:dyDescent="0.3">
      <c r="A30" s="31" t="s">
        <v>1246</v>
      </c>
      <c r="B30" s="308" t="s">
        <v>1235</v>
      </c>
      <c r="C30" s="25">
        <v>790</v>
      </c>
      <c r="D30" s="306">
        <v>790</v>
      </c>
      <c r="E30" s="31" t="s">
        <v>1250</v>
      </c>
      <c r="F30" s="78">
        <v>1703</v>
      </c>
    </row>
    <row r="31" spans="1:6" x14ac:dyDescent="0.3">
      <c r="A31" s="31" t="s">
        <v>1237</v>
      </c>
      <c r="B31" s="308" t="s">
        <v>1235</v>
      </c>
      <c r="C31" s="25">
        <v>3000</v>
      </c>
      <c r="D31" s="306">
        <v>3000</v>
      </c>
      <c r="E31" s="31" t="s">
        <v>1265</v>
      </c>
      <c r="F31" s="78">
        <v>1704</v>
      </c>
    </row>
    <row r="32" spans="1:6" x14ac:dyDescent="0.3">
      <c r="A32" s="31" t="s">
        <v>1238</v>
      </c>
      <c r="B32" s="308" t="s">
        <v>1235</v>
      </c>
      <c r="C32" s="25">
        <v>680</v>
      </c>
      <c r="D32" s="306">
        <v>680</v>
      </c>
      <c r="E32" s="31" t="s">
        <v>1265</v>
      </c>
      <c r="F32" s="78">
        <v>1704</v>
      </c>
    </row>
    <row r="33" spans="1:6" x14ac:dyDescent="0.3">
      <c r="A33" s="31" t="s">
        <v>1237</v>
      </c>
      <c r="B33" s="308" t="s">
        <v>1235</v>
      </c>
      <c r="C33" s="25">
        <v>4000</v>
      </c>
      <c r="D33" s="306">
        <v>4000</v>
      </c>
      <c r="E33" s="31" t="s">
        <v>1264</v>
      </c>
      <c r="F33" s="78">
        <v>1706</v>
      </c>
    </row>
    <row r="34" spans="1:6" x14ac:dyDescent="0.3">
      <c r="A34" s="31" t="s">
        <v>1234</v>
      </c>
      <c r="B34" s="308" t="s">
        <v>1235</v>
      </c>
      <c r="C34" s="25">
        <v>980</v>
      </c>
      <c r="D34" s="306">
        <v>980</v>
      </c>
      <c r="E34" s="31" t="s">
        <v>1264</v>
      </c>
      <c r="F34" s="78">
        <v>1706</v>
      </c>
    </row>
    <row r="35" spans="1:6" x14ac:dyDescent="0.3">
      <c r="A35" s="31" t="s">
        <v>1238</v>
      </c>
      <c r="B35" s="308" t="s">
        <v>1235</v>
      </c>
      <c r="C35" s="25">
        <v>650</v>
      </c>
      <c r="D35" s="306">
        <v>650</v>
      </c>
      <c r="E35" s="31" t="s">
        <v>1264</v>
      </c>
      <c r="F35" s="78">
        <v>1706</v>
      </c>
    </row>
    <row r="36" spans="1:6" x14ac:dyDescent="0.3">
      <c r="A36" s="31" t="s">
        <v>1237</v>
      </c>
      <c r="B36" s="308" t="s">
        <v>1235</v>
      </c>
      <c r="C36" s="25">
        <v>4000</v>
      </c>
      <c r="D36" s="306">
        <v>4000</v>
      </c>
      <c r="E36" s="31" t="s">
        <v>1264</v>
      </c>
      <c r="F36" s="78">
        <v>1707</v>
      </c>
    </row>
    <row r="37" spans="1:6" x14ac:dyDescent="0.3">
      <c r="A37" s="31" t="s">
        <v>1234</v>
      </c>
      <c r="B37" s="308" t="s">
        <v>1235</v>
      </c>
      <c r="C37" s="25">
        <v>1150</v>
      </c>
      <c r="D37" s="306">
        <v>1150</v>
      </c>
      <c r="E37" s="31" t="s">
        <v>1264</v>
      </c>
      <c r="F37" s="78">
        <v>1707</v>
      </c>
    </row>
    <row r="38" spans="1:6" x14ac:dyDescent="0.3">
      <c r="A38" s="31" t="s">
        <v>1238</v>
      </c>
      <c r="B38" s="308" t="s">
        <v>1235</v>
      </c>
      <c r="C38" s="25">
        <v>650</v>
      </c>
      <c r="D38" s="306">
        <v>650</v>
      </c>
      <c r="E38" s="31" t="s">
        <v>1264</v>
      </c>
      <c r="F38" s="78">
        <v>1707</v>
      </c>
    </row>
    <row r="39" spans="1:6" x14ac:dyDescent="0.3">
      <c r="A39" s="31" t="s">
        <v>1238</v>
      </c>
      <c r="B39" s="308" t="s">
        <v>1235</v>
      </c>
      <c r="C39" s="25">
        <v>650</v>
      </c>
      <c r="D39" s="306">
        <v>650</v>
      </c>
      <c r="E39" s="31" t="s">
        <v>1229</v>
      </c>
      <c r="F39" s="78">
        <v>1708</v>
      </c>
    </row>
    <row r="40" spans="1:6" x14ac:dyDescent="0.3">
      <c r="A40" s="31" t="s">
        <v>1246</v>
      </c>
      <c r="B40" s="308" t="s">
        <v>1235</v>
      </c>
      <c r="C40" s="25">
        <v>980</v>
      </c>
      <c r="D40" s="306">
        <v>980</v>
      </c>
      <c r="E40" s="31" t="s">
        <v>1266</v>
      </c>
      <c r="F40" s="78">
        <v>1709</v>
      </c>
    </row>
    <row r="41" spans="1:6" x14ac:dyDescent="0.3">
      <c r="A41" s="31" t="s">
        <v>1237</v>
      </c>
      <c r="B41" s="308" t="s">
        <v>1235</v>
      </c>
      <c r="C41" s="25">
        <v>3000</v>
      </c>
      <c r="D41" s="306">
        <v>3000</v>
      </c>
      <c r="E41" s="31" t="s">
        <v>1221</v>
      </c>
      <c r="F41" s="78">
        <v>1711</v>
      </c>
    </row>
    <row r="42" spans="1:6" x14ac:dyDescent="0.3">
      <c r="A42" s="31" t="s">
        <v>1234</v>
      </c>
      <c r="B42" s="308" t="s">
        <v>1235</v>
      </c>
      <c r="C42" s="25">
        <v>680</v>
      </c>
      <c r="D42" s="306">
        <v>680</v>
      </c>
      <c r="E42" s="31" t="s">
        <v>1221</v>
      </c>
      <c r="F42" s="78">
        <v>1711</v>
      </c>
    </row>
    <row r="43" spans="1:6" x14ac:dyDescent="0.3">
      <c r="A43" s="31" t="s">
        <v>1238</v>
      </c>
      <c r="B43" s="308" t="s">
        <v>1235</v>
      </c>
      <c r="C43" s="25">
        <v>650</v>
      </c>
      <c r="D43" s="306">
        <v>650</v>
      </c>
      <c r="E43" s="31" t="s">
        <v>1221</v>
      </c>
      <c r="F43" s="78">
        <v>1711</v>
      </c>
    </row>
    <row r="44" spans="1:6" x14ac:dyDescent="0.3">
      <c r="A44" s="31" t="s">
        <v>1289</v>
      </c>
      <c r="B44" s="308" t="s">
        <v>1235</v>
      </c>
      <c r="C44" s="25">
        <v>1045</v>
      </c>
      <c r="D44" s="306">
        <v>1045</v>
      </c>
      <c r="E44" s="31" t="s">
        <v>1288</v>
      </c>
      <c r="F44" s="78">
        <v>1712</v>
      </c>
    </row>
    <row r="45" spans="1:6" x14ac:dyDescent="0.3">
      <c r="A45" s="31" t="s">
        <v>1237</v>
      </c>
      <c r="B45" s="308" t="s">
        <v>1235</v>
      </c>
      <c r="C45" s="25">
        <v>3000</v>
      </c>
      <c r="D45" s="306">
        <v>3000</v>
      </c>
      <c r="E45" s="31" t="s">
        <v>1288</v>
      </c>
      <c r="F45" s="78">
        <v>1712</v>
      </c>
    </row>
    <row r="46" spans="1:6" x14ac:dyDescent="0.3">
      <c r="A46" s="31" t="s">
        <v>1234</v>
      </c>
      <c r="B46" s="308" t="s">
        <v>1235</v>
      </c>
      <c r="C46" s="25">
        <v>680</v>
      </c>
      <c r="D46" s="306">
        <v>680</v>
      </c>
      <c r="E46" s="31" t="s">
        <v>1288</v>
      </c>
      <c r="F46" s="78">
        <v>1712</v>
      </c>
    </row>
    <row r="47" spans="1:6" x14ac:dyDescent="0.3">
      <c r="A47" s="31" t="s">
        <v>1271</v>
      </c>
      <c r="B47" s="308" t="s">
        <v>1235</v>
      </c>
      <c r="C47" s="25">
        <v>2880</v>
      </c>
      <c r="D47" s="306">
        <v>2880</v>
      </c>
      <c r="E47" s="31" t="s">
        <v>1288</v>
      </c>
      <c r="F47" s="78">
        <v>1712</v>
      </c>
    </row>
    <row r="48" spans="1:6" x14ac:dyDescent="0.3">
      <c r="A48" s="31" t="s">
        <v>1238</v>
      </c>
      <c r="B48" s="308" t="s">
        <v>1235</v>
      </c>
      <c r="C48" s="25">
        <v>650</v>
      </c>
      <c r="D48" s="306">
        <v>650</v>
      </c>
      <c r="E48" s="31" t="s">
        <v>1288</v>
      </c>
      <c r="F48" s="78">
        <v>1712</v>
      </c>
    </row>
    <row r="49" spans="1:6" x14ac:dyDescent="0.3">
      <c r="A49" s="31" t="s">
        <v>1289</v>
      </c>
      <c r="B49" s="308" t="s">
        <v>1235</v>
      </c>
      <c r="C49" s="25">
        <v>1045</v>
      </c>
      <c r="D49" s="306">
        <v>1045</v>
      </c>
      <c r="E49" s="31" t="s">
        <v>1288</v>
      </c>
      <c r="F49" s="78">
        <v>1713</v>
      </c>
    </row>
    <row r="50" spans="1:6" x14ac:dyDescent="0.3">
      <c r="A50" s="31" t="s">
        <v>1237</v>
      </c>
      <c r="B50" s="308" t="s">
        <v>1235</v>
      </c>
      <c r="C50" s="25">
        <v>3000</v>
      </c>
      <c r="D50" s="306">
        <v>3000</v>
      </c>
      <c r="E50" s="31" t="s">
        <v>1288</v>
      </c>
      <c r="F50" s="78">
        <v>1713</v>
      </c>
    </row>
    <row r="51" spans="1:6" x14ac:dyDescent="0.3">
      <c r="A51" s="31" t="s">
        <v>1234</v>
      </c>
      <c r="B51" s="308" t="s">
        <v>1235</v>
      </c>
      <c r="C51" s="25">
        <v>680</v>
      </c>
      <c r="D51" s="306">
        <v>680</v>
      </c>
      <c r="E51" s="31" t="s">
        <v>1288</v>
      </c>
      <c r="F51" s="78">
        <v>1713</v>
      </c>
    </row>
    <row r="52" spans="1:6" x14ac:dyDescent="0.3">
      <c r="A52" s="31" t="s">
        <v>1271</v>
      </c>
      <c r="B52" s="308" t="s">
        <v>1235</v>
      </c>
      <c r="C52" s="25">
        <v>2880</v>
      </c>
      <c r="D52" s="306">
        <v>2880</v>
      </c>
      <c r="E52" s="31" t="s">
        <v>1288</v>
      </c>
      <c r="F52" s="78">
        <v>1713</v>
      </c>
    </row>
    <row r="53" spans="1:6" x14ac:dyDescent="0.3">
      <c r="A53" s="31" t="s">
        <v>1238</v>
      </c>
      <c r="B53" s="308" t="s">
        <v>1235</v>
      </c>
      <c r="C53" s="25">
        <v>650</v>
      </c>
      <c r="D53" s="306">
        <v>650</v>
      </c>
      <c r="E53" s="31" t="s">
        <v>1288</v>
      </c>
      <c r="F53" s="78">
        <v>1713</v>
      </c>
    </row>
    <row r="54" spans="1:6" x14ac:dyDescent="0.3">
      <c r="A54" s="31" t="s">
        <v>1237</v>
      </c>
      <c r="B54" s="308" t="s">
        <v>1235</v>
      </c>
      <c r="C54" s="25">
        <v>3000</v>
      </c>
      <c r="D54" s="306">
        <v>3000</v>
      </c>
      <c r="E54" s="31" t="s">
        <v>1305</v>
      </c>
      <c r="F54" s="78">
        <v>1714</v>
      </c>
    </row>
    <row r="55" spans="1:6" x14ac:dyDescent="0.3">
      <c r="A55" s="31" t="s">
        <v>1234</v>
      </c>
      <c r="B55" s="308" t="s">
        <v>1235</v>
      </c>
      <c r="C55" s="25">
        <v>680</v>
      </c>
      <c r="D55" s="306">
        <v>680</v>
      </c>
      <c r="E55" s="31" t="s">
        <v>1305</v>
      </c>
      <c r="F55" s="78">
        <v>1714</v>
      </c>
    </row>
    <row r="56" spans="1:6" x14ac:dyDescent="0.3">
      <c r="A56" s="31" t="s">
        <v>1238</v>
      </c>
      <c r="B56" s="308" t="s">
        <v>1235</v>
      </c>
      <c r="C56" s="25">
        <v>650</v>
      </c>
      <c r="D56" s="306">
        <v>650</v>
      </c>
      <c r="E56" s="31" t="s">
        <v>1305</v>
      </c>
      <c r="F56" s="78">
        <v>1714</v>
      </c>
    </row>
    <row r="57" spans="1:6" x14ac:dyDescent="0.3">
      <c r="A57" s="31" t="s">
        <v>1246</v>
      </c>
      <c r="B57" s="308" t="s">
        <v>1235</v>
      </c>
      <c r="C57" s="25">
        <v>1490</v>
      </c>
      <c r="D57" s="306">
        <v>1490</v>
      </c>
      <c r="E57" s="31" t="s">
        <v>1265</v>
      </c>
      <c r="F57" s="78">
        <v>1715</v>
      </c>
    </row>
    <row r="58" spans="1:6" x14ac:dyDescent="0.3">
      <c r="A58" s="31" t="s">
        <v>1237</v>
      </c>
      <c r="B58" s="308" t="s">
        <v>1235</v>
      </c>
      <c r="C58" s="25">
        <v>3000</v>
      </c>
      <c r="D58" s="306">
        <v>3000</v>
      </c>
      <c r="E58" s="31" t="s">
        <v>1305</v>
      </c>
      <c r="F58" s="78">
        <v>1716</v>
      </c>
    </row>
    <row r="59" spans="1:6" x14ac:dyDescent="0.3">
      <c r="A59" s="31" t="s">
        <v>1234</v>
      </c>
      <c r="B59" s="308" t="s">
        <v>1235</v>
      </c>
      <c r="C59" s="25">
        <v>680</v>
      </c>
      <c r="D59" s="306">
        <v>680</v>
      </c>
      <c r="E59" s="31" t="s">
        <v>1305</v>
      </c>
      <c r="F59" s="78">
        <v>1716</v>
      </c>
    </row>
    <row r="60" spans="1:6" x14ac:dyDescent="0.3">
      <c r="A60" s="31" t="s">
        <v>1238</v>
      </c>
      <c r="B60" s="308" t="s">
        <v>1235</v>
      </c>
      <c r="C60" s="25">
        <v>650</v>
      </c>
      <c r="D60" s="306">
        <v>650</v>
      </c>
      <c r="E60" s="31" t="s">
        <v>1305</v>
      </c>
      <c r="F60" s="78">
        <v>1716</v>
      </c>
    </row>
    <row r="61" spans="1:6" x14ac:dyDescent="0.3">
      <c r="A61" s="31" t="s">
        <v>1237</v>
      </c>
      <c r="B61" s="308" t="s">
        <v>1261</v>
      </c>
      <c r="C61" s="25">
        <v>3000</v>
      </c>
      <c r="D61" s="306">
        <v>9000</v>
      </c>
      <c r="E61" s="31" t="s">
        <v>1316</v>
      </c>
      <c r="F61" s="78">
        <v>1717</v>
      </c>
    </row>
    <row r="62" spans="1:6" x14ac:dyDescent="0.3">
      <c r="A62" s="31" t="s">
        <v>1234</v>
      </c>
      <c r="B62" s="308" t="s">
        <v>1261</v>
      </c>
      <c r="C62" s="25">
        <v>680</v>
      </c>
      <c r="D62" s="306">
        <v>2040</v>
      </c>
      <c r="E62" s="31" t="s">
        <v>1316</v>
      </c>
      <c r="F62" s="78">
        <v>1717</v>
      </c>
    </row>
    <row r="63" spans="1:6" x14ac:dyDescent="0.3">
      <c r="A63" s="31" t="s">
        <v>1238</v>
      </c>
      <c r="B63" s="308" t="s">
        <v>1261</v>
      </c>
      <c r="C63" s="25">
        <v>620</v>
      </c>
      <c r="D63" s="306">
        <v>1860</v>
      </c>
      <c r="E63" s="31" t="s">
        <v>1316</v>
      </c>
      <c r="F63" s="78">
        <v>1717</v>
      </c>
    </row>
    <row r="64" spans="1:6" x14ac:dyDescent="0.3">
      <c r="A64" s="31" t="s">
        <v>1246</v>
      </c>
      <c r="B64" s="308" t="s">
        <v>1235</v>
      </c>
      <c r="C64" s="25">
        <v>890</v>
      </c>
      <c r="D64" s="306">
        <v>890</v>
      </c>
      <c r="E64" s="31" t="s">
        <v>1317</v>
      </c>
      <c r="F64" s="78">
        <v>1718</v>
      </c>
    </row>
    <row r="65" spans="1:6" x14ac:dyDescent="0.3">
      <c r="A65" s="31" t="s">
        <v>1246</v>
      </c>
      <c r="B65" s="308" t="s">
        <v>1235</v>
      </c>
      <c r="C65" s="25">
        <v>790</v>
      </c>
      <c r="D65" s="306">
        <v>790</v>
      </c>
      <c r="E65" s="31" t="s">
        <v>1324</v>
      </c>
      <c r="F65" s="78">
        <v>1721</v>
      </c>
    </row>
    <row r="66" spans="1:6" x14ac:dyDescent="0.3">
      <c r="A66" s="31" t="s">
        <v>1237</v>
      </c>
      <c r="B66" s="308" t="s">
        <v>1235</v>
      </c>
      <c r="C66" s="25">
        <v>4000</v>
      </c>
      <c r="D66" s="306">
        <v>4000</v>
      </c>
      <c r="E66" s="31" t="s">
        <v>1401</v>
      </c>
      <c r="F66" s="78">
        <v>1723</v>
      </c>
    </row>
    <row r="67" spans="1:6" x14ac:dyDescent="0.3">
      <c r="A67" s="31" t="s">
        <v>1234</v>
      </c>
      <c r="B67" s="308" t="s">
        <v>1235</v>
      </c>
      <c r="C67" s="25">
        <v>790</v>
      </c>
      <c r="D67" s="306">
        <v>790</v>
      </c>
      <c r="E67" s="31" t="s">
        <v>1401</v>
      </c>
      <c r="F67" s="78">
        <v>1723</v>
      </c>
    </row>
    <row r="68" spans="1:6" x14ac:dyDescent="0.3">
      <c r="A68" s="31" t="s">
        <v>1238</v>
      </c>
      <c r="B68" s="308" t="s">
        <v>1235</v>
      </c>
      <c r="C68" s="25">
        <v>650</v>
      </c>
      <c r="D68" s="306">
        <v>650</v>
      </c>
      <c r="E68" s="31" t="s">
        <v>1401</v>
      </c>
      <c r="F68" s="78">
        <v>1723</v>
      </c>
    </row>
    <row r="69" spans="1:6" x14ac:dyDescent="0.3">
      <c r="A69" s="31" t="s">
        <v>1399</v>
      </c>
      <c r="B69" s="308" t="s">
        <v>1235</v>
      </c>
      <c r="C69" s="25">
        <v>680</v>
      </c>
      <c r="D69" s="306">
        <v>680</v>
      </c>
      <c r="E69" s="31" t="s">
        <v>1265</v>
      </c>
      <c r="F69" s="78">
        <v>1724</v>
      </c>
    </row>
    <row r="70" spans="1:6" x14ac:dyDescent="0.3">
      <c r="A70" s="31" t="s">
        <v>1237</v>
      </c>
      <c r="B70" s="308" t="s">
        <v>1261</v>
      </c>
      <c r="C70" s="25">
        <v>1890</v>
      </c>
      <c r="D70" s="306">
        <v>5670</v>
      </c>
      <c r="E70" s="31" t="s">
        <v>1394</v>
      </c>
      <c r="F70" s="78">
        <v>1726</v>
      </c>
    </row>
    <row r="71" spans="1:6" x14ac:dyDescent="0.3">
      <c r="A71" s="31" t="s">
        <v>1234</v>
      </c>
      <c r="B71" s="308" t="s">
        <v>1261</v>
      </c>
      <c r="C71" s="25">
        <v>430</v>
      </c>
      <c r="D71" s="306">
        <v>1290</v>
      </c>
      <c r="E71" s="31" t="s">
        <v>1394</v>
      </c>
      <c r="F71" s="78">
        <v>1726</v>
      </c>
    </row>
    <row r="72" spans="1:6" x14ac:dyDescent="0.3">
      <c r="A72" s="31" t="s">
        <v>1238</v>
      </c>
      <c r="B72" s="308" t="s">
        <v>1261</v>
      </c>
      <c r="C72" s="25">
        <v>450</v>
      </c>
      <c r="D72" s="306">
        <v>1350</v>
      </c>
      <c r="E72" s="31" t="s">
        <v>1394</v>
      </c>
      <c r="F72" s="78">
        <v>1726</v>
      </c>
    </row>
    <row r="73" spans="1:6" x14ac:dyDescent="0.3">
      <c r="A73" s="31" t="s">
        <v>1237</v>
      </c>
      <c r="B73" s="308" t="s">
        <v>1235</v>
      </c>
      <c r="C73" s="25">
        <v>3000</v>
      </c>
      <c r="D73" s="306">
        <v>3000</v>
      </c>
      <c r="E73" s="31" t="s">
        <v>1394</v>
      </c>
      <c r="F73" s="78">
        <v>1727</v>
      </c>
    </row>
    <row r="74" spans="1:6" x14ac:dyDescent="0.3">
      <c r="A74" s="31" t="s">
        <v>1234</v>
      </c>
      <c r="B74" s="308" t="s">
        <v>1235</v>
      </c>
      <c r="C74" s="25">
        <v>680</v>
      </c>
      <c r="D74" s="306">
        <v>680</v>
      </c>
      <c r="E74" s="31" t="s">
        <v>1394</v>
      </c>
      <c r="F74" s="78">
        <v>1727</v>
      </c>
    </row>
    <row r="75" spans="1:6" x14ac:dyDescent="0.3">
      <c r="A75" s="31" t="s">
        <v>1238</v>
      </c>
      <c r="B75" s="308" t="s">
        <v>1235</v>
      </c>
      <c r="C75" s="25">
        <v>650</v>
      </c>
      <c r="D75" s="306">
        <v>650</v>
      </c>
      <c r="E75" s="31" t="s">
        <v>1394</v>
      </c>
      <c r="F75" s="78">
        <v>1727</v>
      </c>
    </row>
    <row r="76" spans="1:6" x14ac:dyDescent="0.3">
      <c r="A76" s="31" t="s">
        <v>1237</v>
      </c>
      <c r="B76" s="308" t="s">
        <v>1393</v>
      </c>
      <c r="C76" s="25">
        <v>3000</v>
      </c>
      <c r="D76" s="306">
        <v>84000</v>
      </c>
      <c r="E76" s="31" t="s">
        <v>1378</v>
      </c>
      <c r="F76" s="78">
        <v>1728</v>
      </c>
    </row>
    <row r="77" spans="1:6" x14ac:dyDescent="0.3">
      <c r="A77" s="31" t="s">
        <v>1234</v>
      </c>
      <c r="B77" s="308" t="s">
        <v>1393</v>
      </c>
      <c r="C77" s="25">
        <v>650</v>
      </c>
      <c r="D77" s="306">
        <v>18200</v>
      </c>
      <c r="E77" s="31" t="s">
        <v>1378</v>
      </c>
      <c r="F77" s="78">
        <v>1728</v>
      </c>
    </row>
    <row r="78" spans="1:6" x14ac:dyDescent="0.3">
      <c r="A78" s="31" t="s">
        <v>1238</v>
      </c>
      <c r="B78" s="308" t="s">
        <v>1393</v>
      </c>
      <c r="C78" s="25">
        <v>620</v>
      </c>
      <c r="D78" s="306">
        <v>17360</v>
      </c>
      <c r="E78" s="31" t="s">
        <v>1378</v>
      </c>
      <c r="F78" s="78">
        <v>1728</v>
      </c>
    </row>
    <row r="79" spans="1:6" x14ac:dyDescent="0.3">
      <c r="A79" s="31" t="s">
        <v>1237</v>
      </c>
      <c r="B79" s="308" t="s">
        <v>1235</v>
      </c>
      <c r="C79" s="25">
        <v>3000</v>
      </c>
      <c r="D79" s="306">
        <v>3000</v>
      </c>
      <c r="E79" s="31" t="s">
        <v>1392</v>
      </c>
      <c r="F79" s="78">
        <v>1729</v>
      </c>
    </row>
    <row r="80" spans="1:6" x14ac:dyDescent="0.3">
      <c r="A80" s="31" t="s">
        <v>1234</v>
      </c>
      <c r="B80" s="308" t="s">
        <v>1235</v>
      </c>
      <c r="C80" s="25">
        <v>680</v>
      </c>
      <c r="D80" s="306">
        <v>680</v>
      </c>
      <c r="E80" s="31" t="s">
        <v>1392</v>
      </c>
      <c r="F80" s="78">
        <v>1729</v>
      </c>
    </row>
    <row r="81" spans="1:6" x14ac:dyDescent="0.3">
      <c r="A81" s="31" t="s">
        <v>1238</v>
      </c>
      <c r="B81" s="308" t="s">
        <v>1235</v>
      </c>
      <c r="C81" s="25">
        <v>650</v>
      </c>
      <c r="D81" s="306">
        <v>650</v>
      </c>
      <c r="E81" s="31" t="s">
        <v>1392</v>
      </c>
      <c r="F81" s="78">
        <v>1729</v>
      </c>
    </row>
    <row r="82" spans="1:6" x14ac:dyDescent="0.3">
      <c r="A82" s="31" t="s">
        <v>1237</v>
      </c>
      <c r="B82" s="308" t="s">
        <v>1235</v>
      </c>
      <c r="C82" s="25">
        <v>3000</v>
      </c>
      <c r="D82" s="306">
        <v>3000</v>
      </c>
      <c r="E82" s="31" t="s">
        <v>1390</v>
      </c>
      <c r="F82" s="78">
        <v>1732</v>
      </c>
    </row>
    <row r="83" spans="1:6" x14ac:dyDescent="0.3">
      <c r="A83" s="31" t="s">
        <v>1234</v>
      </c>
      <c r="B83" s="308" t="s">
        <v>1235</v>
      </c>
      <c r="C83" s="25">
        <v>790</v>
      </c>
      <c r="D83" s="306">
        <v>790</v>
      </c>
      <c r="E83" s="31" t="s">
        <v>1390</v>
      </c>
      <c r="F83" s="78">
        <v>1732</v>
      </c>
    </row>
    <row r="84" spans="1:6" x14ac:dyDescent="0.3">
      <c r="A84" s="31" t="s">
        <v>1238</v>
      </c>
      <c r="B84" s="308" t="s">
        <v>1235</v>
      </c>
      <c r="C84" s="25">
        <v>650</v>
      </c>
      <c r="D84" s="306">
        <v>650</v>
      </c>
      <c r="E84" s="31" t="s">
        <v>1390</v>
      </c>
      <c r="F84" s="78">
        <v>1732</v>
      </c>
    </row>
    <row r="85" spans="1:6" x14ac:dyDescent="0.3">
      <c r="A85" s="31" t="s">
        <v>1246</v>
      </c>
      <c r="B85" s="308" t="s">
        <v>1235</v>
      </c>
      <c r="C85" s="25">
        <v>890</v>
      </c>
      <c r="D85" s="306">
        <v>890</v>
      </c>
      <c r="E85" s="31" t="s">
        <v>1389</v>
      </c>
      <c r="F85" s="78">
        <v>1733</v>
      </c>
    </row>
    <row r="86" spans="1:6" x14ac:dyDescent="0.3">
      <c r="A86" s="31" t="s">
        <v>1246</v>
      </c>
      <c r="B86" s="308" t="s">
        <v>1387</v>
      </c>
      <c r="C86" s="25">
        <v>790</v>
      </c>
      <c r="D86" s="306">
        <v>7900</v>
      </c>
      <c r="E86" s="31" t="s">
        <v>1388</v>
      </c>
      <c r="F86" s="78">
        <v>1734</v>
      </c>
    </row>
    <row r="87" spans="1:6" x14ac:dyDescent="0.3">
      <c r="A87" s="31" t="s">
        <v>1386</v>
      </c>
      <c r="B87" s="308" t="s">
        <v>1235</v>
      </c>
      <c r="C87" s="25">
        <v>2150</v>
      </c>
      <c r="D87" s="306">
        <v>2150</v>
      </c>
      <c r="E87" s="31" t="s">
        <v>1385</v>
      </c>
      <c r="F87" s="78">
        <v>1735</v>
      </c>
    </row>
    <row r="88" spans="1:6" x14ac:dyDescent="0.3">
      <c r="A88" s="31" t="s">
        <v>1237</v>
      </c>
      <c r="B88" s="308" t="s">
        <v>1235</v>
      </c>
      <c r="C88" s="25">
        <v>4000</v>
      </c>
      <c r="D88" s="306">
        <v>4000</v>
      </c>
      <c r="E88" s="31" t="s">
        <v>1383</v>
      </c>
      <c r="F88" s="78">
        <v>1736</v>
      </c>
    </row>
    <row r="89" spans="1:6" x14ac:dyDescent="0.3">
      <c r="A89" s="31" t="s">
        <v>1289</v>
      </c>
      <c r="B89" s="308" t="s">
        <v>1235</v>
      </c>
      <c r="C89" s="25">
        <v>850</v>
      </c>
      <c r="D89" s="306">
        <v>850</v>
      </c>
      <c r="E89" s="31" t="s">
        <v>1382</v>
      </c>
      <c r="F89" s="78">
        <v>1737</v>
      </c>
    </row>
    <row r="90" spans="1:6" x14ac:dyDescent="0.3">
      <c r="A90" s="31" t="s">
        <v>1237</v>
      </c>
      <c r="B90" s="308" t="s">
        <v>1262</v>
      </c>
      <c r="C90" s="25">
        <v>3000</v>
      </c>
      <c r="D90" s="306">
        <v>6000</v>
      </c>
      <c r="E90" s="31" t="s">
        <v>1382</v>
      </c>
      <c r="F90" s="78">
        <v>1737</v>
      </c>
    </row>
    <row r="91" spans="1:6" x14ac:dyDescent="0.3">
      <c r="A91" s="31" t="s">
        <v>1234</v>
      </c>
      <c r="B91" s="308" t="s">
        <v>1262</v>
      </c>
      <c r="C91" s="25">
        <v>580</v>
      </c>
      <c r="D91" s="306">
        <v>1160</v>
      </c>
      <c r="E91" s="31" t="s">
        <v>1382</v>
      </c>
      <c r="F91" s="78">
        <v>1737</v>
      </c>
    </row>
    <row r="92" spans="1:6" x14ac:dyDescent="0.3">
      <c r="A92" s="31" t="s">
        <v>1271</v>
      </c>
      <c r="B92" s="308" t="s">
        <v>1235</v>
      </c>
      <c r="C92" s="25">
        <v>1440</v>
      </c>
      <c r="D92" s="306">
        <v>1440</v>
      </c>
      <c r="E92" s="31" t="s">
        <v>1382</v>
      </c>
      <c r="F92" s="78">
        <v>1737</v>
      </c>
    </row>
    <row r="93" spans="1:6" x14ac:dyDescent="0.3">
      <c r="A93" s="31" t="s">
        <v>1238</v>
      </c>
      <c r="B93" s="308" t="s">
        <v>1262</v>
      </c>
      <c r="C93" s="25">
        <v>650</v>
      </c>
      <c r="D93" s="306">
        <v>1300</v>
      </c>
      <c r="E93" s="31" t="s">
        <v>1382</v>
      </c>
      <c r="F93" s="78">
        <v>1737</v>
      </c>
    </row>
    <row r="94" spans="1:6" x14ac:dyDescent="0.3">
      <c r="A94" s="31" t="s">
        <v>1237</v>
      </c>
      <c r="B94" s="308" t="s">
        <v>1380</v>
      </c>
      <c r="C94" s="25">
        <v>5000</v>
      </c>
      <c r="D94" s="306">
        <v>125000</v>
      </c>
      <c r="E94" s="31" t="s">
        <v>1378</v>
      </c>
      <c r="F94" s="78">
        <v>1739</v>
      </c>
    </row>
    <row r="95" spans="1:6" x14ac:dyDescent="0.3">
      <c r="A95" s="31" t="s">
        <v>1237</v>
      </c>
      <c r="B95" s="308" t="s">
        <v>1377</v>
      </c>
      <c r="C95" s="25">
        <v>3000</v>
      </c>
      <c r="D95" s="306">
        <v>12000</v>
      </c>
      <c r="E95" s="31" t="s">
        <v>1378</v>
      </c>
      <c r="F95" s="78">
        <v>1740</v>
      </c>
    </row>
    <row r="96" spans="1:6" x14ac:dyDescent="0.3">
      <c r="A96" s="31" t="s">
        <v>1234</v>
      </c>
      <c r="B96" s="308" t="s">
        <v>1377</v>
      </c>
      <c r="C96" s="25">
        <v>650</v>
      </c>
      <c r="D96" s="306">
        <v>2600</v>
      </c>
      <c r="E96" s="31" t="s">
        <v>1378</v>
      </c>
      <c r="F96" s="78">
        <v>1740</v>
      </c>
    </row>
    <row r="97" spans="1:6" x14ac:dyDescent="0.3">
      <c r="A97" s="31" t="s">
        <v>1238</v>
      </c>
      <c r="B97" s="308" t="s">
        <v>1377</v>
      </c>
      <c r="C97" s="25">
        <v>620</v>
      </c>
      <c r="D97" s="306">
        <v>2480</v>
      </c>
      <c r="E97" s="31" t="s">
        <v>1378</v>
      </c>
      <c r="F97" s="78">
        <v>1740</v>
      </c>
    </row>
    <row r="98" spans="1:6" x14ac:dyDescent="0.3">
      <c r="A98" s="31" t="s">
        <v>1246</v>
      </c>
      <c r="B98" s="308" t="s">
        <v>1235</v>
      </c>
      <c r="C98" s="25">
        <v>890</v>
      </c>
      <c r="D98" s="306">
        <v>890</v>
      </c>
      <c r="E98" s="31" t="s">
        <v>1376</v>
      </c>
      <c r="F98" s="78">
        <v>1741</v>
      </c>
    </row>
    <row r="99" spans="1:6" x14ac:dyDescent="0.3">
      <c r="A99" s="31" t="s">
        <v>1237</v>
      </c>
      <c r="B99" s="308" t="s">
        <v>1235</v>
      </c>
      <c r="C99" s="25">
        <v>3000</v>
      </c>
      <c r="D99" s="306">
        <v>3000</v>
      </c>
      <c r="E99" s="31" t="s">
        <v>1375</v>
      </c>
      <c r="F99" s="78">
        <v>1742</v>
      </c>
    </row>
    <row r="100" spans="1:6" x14ac:dyDescent="0.3">
      <c r="A100" s="31" t="s">
        <v>1234</v>
      </c>
      <c r="B100" s="308" t="s">
        <v>1235</v>
      </c>
      <c r="C100" s="25">
        <v>650</v>
      </c>
      <c r="D100" s="306">
        <v>650</v>
      </c>
      <c r="E100" s="31" t="s">
        <v>1375</v>
      </c>
      <c r="F100" s="78">
        <v>1742</v>
      </c>
    </row>
    <row r="101" spans="1:6" x14ac:dyDescent="0.3">
      <c r="A101" s="31" t="s">
        <v>1238</v>
      </c>
      <c r="B101" s="308" t="s">
        <v>1235</v>
      </c>
      <c r="C101" s="25">
        <v>620</v>
      </c>
      <c r="D101" s="306">
        <v>620</v>
      </c>
      <c r="E101" s="31" t="s">
        <v>1375</v>
      </c>
      <c r="F101" s="78">
        <v>1742</v>
      </c>
    </row>
    <row r="102" spans="1:6" x14ac:dyDescent="0.3">
      <c r="A102" s="31" t="s">
        <v>1560</v>
      </c>
      <c r="B102" s="308" t="s">
        <v>1235</v>
      </c>
      <c r="C102" s="25">
        <v>1280</v>
      </c>
      <c r="D102" s="306">
        <v>1280</v>
      </c>
      <c r="E102" s="31" t="s">
        <v>1265</v>
      </c>
      <c r="F102" s="78">
        <v>1743</v>
      </c>
    </row>
    <row r="103" spans="1:6" x14ac:dyDescent="0.3">
      <c r="A103" s="31" t="s">
        <v>1237</v>
      </c>
      <c r="B103" s="308" t="s">
        <v>1235</v>
      </c>
      <c r="C103" s="25">
        <v>3890</v>
      </c>
      <c r="D103" s="306">
        <v>3890</v>
      </c>
      <c r="E103" s="31" t="s">
        <v>1562</v>
      </c>
      <c r="F103" s="78">
        <v>1745</v>
      </c>
    </row>
    <row r="104" spans="1:6" x14ac:dyDescent="0.3">
      <c r="A104" s="31" t="s">
        <v>1237</v>
      </c>
      <c r="B104" s="308" t="s">
        <v>1235</v>
      </c>
      <c r="C104" s="25">
        <v>8500</v>
      </c>
      <c r="D104" s="306">
        <v>8500</v>
      </c>
      <c r="E104" s="31" t="s">
        <v>1562</v>
      </c>
      <c r="F104" s="78">
        <v>1746</v>
      </c>
    </row>
    <row r="105" spans="1:6" x14ac:dyDescent="0.3">
      <c r="A105" s="31" t="s">
        <v>1246</v>
      </c>
      <c r="B105" s="308" t="s">
        <v>1235</v>
      </c>
      <c r="C105" s="25">
        <v>890</v>
      </c>
      <c r="D105" s="306">
        <v>890</v>
      </c>
      <c r="E105" s="31" t="s">
        <v>1565</v>
      </c>
      <c r="F105" s="78">
        <v>1748</v>
      </c>
    </row>
    <row r="106" spans="1:6" x14ac:dyDescent="0.3">
      <c r="A106" s="31" t="s">
        <v>1254</v>
      </c>
      <c r="B106" s="308" t="s">
        <v>1235</v>
      </c>
      <c r="C106" s="25">
        <v>590</v>
      </c>
      <c r="D106" s="306">
        <v>590</v>
      </c>
      <c r="E106" s="31" t="s">
        <v>1568</v>
      </c>
      <c r="F106" s="78">
        <v>1749</v>
      </c>
    </row>
    <row r="107" spans="1:6" x14ac:dyDescent="0.3">
      <c r="A107" s="31" t="s">
        <v>1289</v>
      </c>
      <c r="B107" s="308" t="s">
        <v>1235</v>
      </c>
      <c r="C107" s="25">
        <v>1100</v>
      </c>
      <c r="D107" s="306">
        <v>1100</v>
      </c>
      <c r="E107" s="31" t="s">
        <v>1569</v>
      </c>
      <c r="F107" s="78">
        <v>1750</v>
      </c>
    </row>
    <row r="108" spans="1:6" x14ac:dyDescent="0.3">
      <c r="A108" s="31" t="s">
        <v>1237</v>
      </c>
      <c r="B108" s="308" t="s">
        <v>1235</v>
      </c>
      <c r="C108" s="25">
        <v>3000</v>
      </c>
      <c r="D108" s="306">
        <v>3000</v>
      </c>
      <c r="E108" s="31" t="s">
        <v>1569</v>
      </c>
      <c r="F108" s="78">
        <v>1750</v>
      </c>
    </row>
    <row r="109" spans="1:6" x14ac:dyDescent="0.3">
      <c r="A109" s="31" t="s">
        <v>1234</v>
      </c>
      <c r="B109" s="308" t="s">
        <v>1235</v>
      </c>
      <c r="C109" s="25">
        <v>890</v>
      </c>
      <c r="D109" s="306">
        <v>890</v>
      </c>
      <c r="E109" s="31" t="s">
        <v>1569</v>
      </c>
      <c r="F109" s="78">
        <v>1750</v>
      </c>
    </row>
    <row r="110" spans="1:6" x14ac:dyDescent="0.3">
      <c r="A110" s="31" t="s">
        <v>1271</v>
      </c>
      <c r="B110" s="308" t="s">
        <v>1235</v>
      </c>
      <c r="C110" s="25">
        <v>2280</v>
      </c>
      <c r="D110" s="306">
        <v>2280</v>
      </c>
      <c r="E110" s="31" t="s">
        <v>1569</v>
      </c>
      <c r="F110" s="78">
        <v>1750</v>
      </c>
    </row>
    <row r="111" spans="1:6" x14ac:dyDescent="0.3">
      <c r="A111" s="31" t="s">
        <v>1238</v>
      </c>
      <c r="B111" s="308" t="s">
        <v>1235</v>
      </c>
      <c r="C111" s="25">
        <v>650</v>
      </c>
      <c r="D111" s="306">
        <v>650</v>
      </c>
      <c r="E111" s="31" t="s">
        <v>1569</v>
      </c>
      <c r="F111" s="78">
        <v>1750</v>
      </c>
    </row>
    <row r="112" spans="1:6" x14ac:dyDescent="0.3">
      <c r="A112" s="31" t="s">
        <v>1237</v>
      </c>
      <c r="B112" s="308" t="s">
        <v>1235</v>
      </c>
      <c r="C112" s="25">
        <v>3000</v>
      </c>
      <c r="D112" s="306">
        <v>3000</v>
      </c>
      <c r="E112" s="31" t="s">
        <v>1571</v>
      </c>
      <c r="F112" s="78">
        <v>1751</v>
      </c>
    </row>
    <row r="113" spans="1:6" x14ac:dyDescent="0.3">
      <c r="A113" s="31" t="s">
        <v>1234</v>
      </c>
      <c r="B113" s="308" t="s">
        <v>1235</v>
      </c>
      <c r="C113" s="25">
        <v>680</v>
      </c>
      <c r="D113" s="306">
        <v>680</v>
      </c>
      <c r="E113" s="31" t="s">
        <v>1571</v>
      </c>
      <c r="F113" s="78">
        <v>1751</v>
      </c>
    </row>
    <row r="114" spans="1:6" x14ac:dyDescent="0.3">
      <c r="A114" s="31" t="s">
        <v>1238</v>
      </c>
      <c r="B114" s="308" t="s">
        <v>1235</v>
      </c>
      <c r="C114" s="25">
        <v>650</v>
      </c>
      <c r="D114" s="306">
        <v>650</v>
      </c>
      <c r="E114" s="31" t="s">
        <v>1571</v>
      </c>
      <c r="F114" s="78">
        <v>1751</v>
      </c>
    </row>
    <row r="115" spans="1:6" x14ac:dyDescent="0.3">
      <c r="A115" s="31" t="s">
        <v>1237</v>
      </c>
      <c r="B115" s="308" t="s">
        <v>1235</v>
      </c>
      <c r="C115" s="25">
        <v>3000</v>
      </c>
      <c r="D115" s="306">
        <v>3000</v>
      </c>
      <c r="E115" s="31" t="s">
        <v>1572</v>
      </c>
      <c r="F115" s="78">
        <v>1752</v>
      </c>
    </row>
    <row r="116" spans="1:6" x14ac:dyDescent="0.3">
      <c r="A116" s="31" t="s">
        <v>1234</v>
      </c>
      <c r="B116" s="308" t="s">
        <v>1235</v>
      </c>
      <c r="C116" s="25">
        <v>890</v>
      </c>
      <c r="D116" s="306">
        <v>890</v>
      </c>
      <c r="E116" s="31" t="s">
        <v>1572</v>
      </c>
      <c r="F116" s="78">
        <v>1752</v>
      </c>
    </row>
    <row r="117" spans="1:6" x14ac:dyDescent="0.3">
      <c r="A117" s="31" t="s">
        <v>1238</v>
      </c>
      <c r="B117" s="308" t="s">
        <v>1235</v>
      </c>
      <c r="C117" s="25">
        <v>650</v>
      </c>
      <c r="D117" s="306">
        <v>650</v>
      </c>
      <c r="E117" s="31" t="s">
        <v>1572</v>
      </c>
      <c r="F117" s="78">
        <v>1752</v>
      </c>
    </row>
    <row r="118" spans="1:6" x14ac:dyDescent="0.3">
      <c r="A118" s="31" t="s">
        <v>1237</v>
      </c>
      <c r="B118" s="308" t="s">
        <v>1235</v>
      </c>
      <c r="C118" s="25">
        <v>3000</v>
      </c>
      <c r="D118" s="306">
        <v>3000</v>
      </c>
      <c r="E118" s="31" t="s">
        <v>1572</v>
      </c>
      <c r="F118" s="78">
        <v>1753</v>
      </c>
    </row>
    <row r="119" spans="1:6" x14ac:dyDescent="0.3">
      <c r="A119" s="31" t="s">
        <v>1234</v>
      </c>
      <c r="B119" s="308" t="s">
        <v>1235</v>
      </c>
      <c r="C119" s="25">
        <v>890</v>
      </c>
      <c r="D119" s="306">
        <v>890</v>
      </c>
      <c r="E119" s="31" t="s">
        <v>1572</v>
      </c>
      <c r="F119" s="78">
        <v>1753</v>
      </c>
    </row>
    <row r="120" spans="1:6" x14ac:dyDescent="0.3">
      <c r="A120" s="31" t="s">
        <v>1238</v>
      </c>
      <c r="B120" s="308" t="s">
        <v>1235</v>
      </c>
      <c r="C120" s="25">
        <v>650</v>
      </c>
      <c r="D120" s="306">
        <v>650</v>
      </c>
      <c r="E120" s="31" t="s">
        <v>1572</v>
      </c>
      <c r="F120" s="78">
        <v>1753</v>
      </c>
    </row>
    <row r="121" spans="1:6" x14ac:dyDescent="0.3">
      <c r="A121" s="31" t="s">
        <v>1237</v>
      </c>
      <c r="B121" s="308" t="s">
        <v>1235</v>
      </c>
      <c r="C121" s="25">
        <v>3500</v>
      </c>
      <c r="D121" s="306">
        <v>3500</v>
      </c>
      <c r="E121" s="31" t="s">
        <v>1572</v>
      </c>
      <c r="F121" s="78">
        <v>1754</v>
      </c>
    </row>
    <row r="122" spans="1:6" x14ac:dyDescent="0.3">
      <c r="A122" s="31" t="s">
        <v>1234</v>
      </c>
      <c r="B122" s="308" t="s">
        <v>1235</v>
      </c>
      <c r="C122" s="25">
        <v>1620</v>
      </c>
      <c r="D122" s="306">
        <v>1620</v>
      </c>
      <c r="E122" s="31" t="s">
        <v>1572</v>
      </c>
      <c r="F122" s="78">
        <v>1754</v>
      </c>
    </row>
    <row r="123" spans="1:6" x14ac:dyDescent="0.3">
      <c r="A123" s="31" t="s">
        <v>1238</v>
      </c>
      <c r="B123" s="308" t="s">
        <v>1235</v>
      </c>
      <c r="C123" s="25">
        <v>780</v>
      </c>
      <c r="D123" s="306">
        <v>780</v>
      </c>
      <c r="E123" s="31" t="s">
        <v>1572</v>
      </c>
      <c r="F123" s="78">
        <v>1754</v>
      </c>
    </row>
    <row r="124" spans="1:6" x14ac:dyDescent="0.3">
      <c r="A124" s="31" t="s">
        <v>1237</v>
      </c>
      <c r="B124" s="308" t="s">
        <v>1235</v>
      </c>
      <c r="C124" s="25">
        <v>3000</v>
      </c>
      <c r="D124" s="306">
        <v>3000</v>
      </c>
      <c r="E124" s="31" t="s">
        <v>1572</v>
      </c>
      <c r="F124" s="78">
        <v>1755</v>
      </c>
    </row>
    <row r="125" spans="1:6" x14ac:dyDescent="0.3">
      <c r="A125" s="31" t="s">
        <v>1234</v>
      </c>
      <c r="B125" s="308" t="s">
        <v>1235</v>
      </c>
      <c r="C125" s="25">
        <v>1230</v>
      </c>
      <c r="D125" s="306">
        <v>1230</v>
      </c>
      <c r="E125" s="31" t="s">
        <v>1572</v>
      </c>
      <c r="F125" s="78">
        <v>1755</v>
      </c>
    </row>
    <row r="126" spans="1:6" x14ac:dyDescent="0.3">
      <c r="A126" s="31" t="s">
        <v>1238</v>
      </c>
      <c r="B126" s="308" t="s">
        <v>1235</v>
      </c>
      <c r="C126" s="25">
        <v>650</v>
      </c>
      <c r="D126" s="306">
        <v>650</v>
      </c>
      <c r="E126" s="31" t="s">
        <v>1572</v>
      </c>
      <c r="F126" s="78">
        <v>1755</v>
      </c>
    </row>
    <row r="127" spans="1:6" x14ac:dyDescent="0.3">
      <c r="A127" s="31" t="s">
        <v>1246</v>
      </c>
      <c r="B127" s="308" t="s">
        <v>1235</v>
      </c>
      <c r="C127" s="25">
        <v>590</v>
      </c>
      <c r="D127" s="306">
        <v>590</v>
      </c>
      <c r="E127" s="31" t="s">
        <v>1580</v>
      </c>
      <c r="F127" s="78">
        <v>1756</v>
      </c>
    </row>
    <row r="128" spans="1:6" x14ac:dyDescent="0.3">
      <c r="A128" s="31" t="s">
        <v>1289</v>
      </c>
      <c r="B128" s="308" t="s">
        <v>1235</v>
      </c>
      <c r="C128" s="25">
        <v>1100</v>
      </c>
      <c r="D128" s="306">
        <v>1100</v>
      </c>
      <c r="E128" s="31" t="s">
        <v>1585</v>
      </c>
      <c r="F128" s="78">
        <v>1758</v>
      </c>
    </row>
    <row r="129" spans="1:6" x14ac:dyDescent="0.3">
      <c r="A129" s="31" t="s">
        <v>1237</v>
      </c>
      <c r="B129" s="308" t="s">
        <v>1235</v>
      </c>
      <c r="C129" s="25">
        <v>3000</v>
      </c>
      <c r="D129" s="306">
        <v>3000</v>
      </c>
      <c r="E129" s="31" t="s">
        <v>1585</v>
      </c>
      <c r="F129" s="78">
        <v>1758</v>
      </c>
    </row>
    <row r="130" spans="1:6" x14ac:dyDescent="0.3">
      <c r="A130" s="31" t="s">
        <v>1234</v>
      </c>
      <c r="B130" s="308" t="s">
        <v>1235</v>
      </c>
      <c r="C130" s="25">
        <v>680</v>
      </c>
      <c r="D130" s="306">
        <v>680</v>
      </c>
      <c r="E130" s="31" t="s">
        <v>1585</v>
      </c>
      <c r="F130" s="78">
        <v>1758</v>
      </c>
    </row>
    <row r="131" spans="1:6" x14ac:dyDescent="0.3">
      <c r="A131" s="31" t="s">
        <v>1271</v>
      </c>
      <c r="B131" s="308" t="s">
        <v>1235</v>
      </c>
      <c r="C131" s="25">
        <v>1700</v>
      </c>
      <c r="D131" s="306">
        <v>1700</v>
      </c>
      <c r="E131" s="31" t="s">
        <v>1585</v>
      </c>
      <c r="F131" s="78">
        <v>1758</v>
      </c>
    </row>
    <row r="132" spans="1:6" x14ac:dyDescent="0.3">
      <c r="A132" s="31" t="s">
        <v>1238</v>
      </c>
      <c r="B132" s="308" t="s">
        <v>1235</v>
      </c>
      <c r="C132" s="25">
        <v>650</v>
      </c>
      <c r="D132" s="306">
        <v>650</v>
      </c>
      <c r="E132" s="31" t="s">
        <v>1585</v>
      </c>
      <c r="F132" s="78">
        <v>1758</v>
      </c>
    </row>
    <row r="133" spans="1:6" x14ac:dyDescent="0.3">
      <c r="A133" s="31" t="s">
        <v>1237</v>
      </c>
      <c r="B133" s="308" t="s">
        <v>1235</v>
      </c>
      <c r="C133" s="25">
        <v>3200</v>
      </c>
      <c r="D133" s="306">
        <v>3200</v>
      </c>
      <c r="E133" s="31" t="s">
        <v>1586</v>
      </c>
      <c r="F133" s="78">
        <v>1759</v>
      </c>
    </row>
    <row r="134" spans="1:6" x14ac:dyDescent="0.3">
      <c r="A134" s="31" t="s">
        <v>1234</v>
      </c>
      <c r="B134" s="308" t="s">
        <v>1235</v>
      </c>
      <c r="C134" s="25">
        <v>680</v>
      </c>
      <c r="D134" s="306">
        <v>680</v>
      </c>
      <c r="E134" s="31" t="s">
        <v>1586</v>
      </c>
      <c r="F134" s="78">
        <v>1759</v>
      </c>
    </row>
    <row r="135" spans="1:6" x14ac:dyDescent="0.3">
      <c r="A135" s="31" t="s">
        <v>1238</v>
      </c>
      <c r="B135" s="308" t="s">
        <v>1235</v>
      </c>
      <c r="C135" s="25">
        <v>650</v>
      </c>
      <c r="D135" s="306">
        <v>650</v>
      </c>
      <c r="E135" s="31" t="s">
        <v>1586</v>
      </c>
      <c r="F135" s="78">
        <v>1759</v>
      </c>
    </row>
    <row r="136" spans="1:6" x14ac:dyDescent="0.3">
      <c r="A136" s="31" t="s">
        <v>1237</v>
      </c>
      <c r="B136" s="308" t="s">
        <v>1588</v>
      </c>
      <c r="C136" s="25">
        <v>4980</v>
      </c>
      <c r="D136" s="306">
        <v>39840</v>
      </c>
      <c r="E136" s="31" t="s">
        <v>1589</v>
      </c>
      <c r="F136" s="78">
        <v>1760</v>
      </c>
    </row>
    <row r="137" spans="1:6" x14ac:dyDescent="0.3">
      <c r="A137" s="31" t="s">
        <v>1237</v>
      </c>
      <c r="B137" s="308" t="s">
        <v>1235</v>
      </c>
      <c r="C137" s="25">
        <v>3000</v>
      </c>
      <c r="D137" s="306">
        <v>3000</v>
      </c>
      <c r="E137" s="31" t="s">
        <v>436</v>
      </c>
      <c r="F137" s="78">
        <v>1761</v>
      </c>
    </row>
    <row r="138" spans="1:6" x14ac:dyDescent="0.3">
      <c r="A138" s="31" t="s">
        <v>1234</v>
      </c>
      <c r="B138" s="308" t="s">
        <v>1235</v>
      </c>
      <c r="C138" s="25">
        <v>680</v>
      </c>
      <c r="D138" s="306">
        <v>680</v>
      </c>
      <c r="E138" s="31" t="s">
        <v>436</v>
      </c>
      <c r="F138" s="78">
        <v>1761</v>
      </c>
    </row>
    <row r="139" spans="1:6" x14ac:dyDescent="0.3">
      <c r="A139" s="31" t="s">
        <v>1238</v>
      </c>
      <c r="B139" s="308" t="s">
        <v>1235</v>
      </c>
      <c r="C139" s="25">
        <v>650</v>
      </c>
      <c r="D139" s="306">
        <v>650</v>
      </c>
      <c r="E139" s="31" t="s">
        <v>436</v>
      </c>
      <c r="F139" s="78">
        <v>1761</v>
      </c>
    </row>
    <row r="140" spans="1:6" x14ac:dyDescent="0.3">
      <c r="A140" s="31" t="s">
        <v>1237</v>
      </c>
      <c r="B140" s="308" t="s">
        <v>1235</v>
      </c>
      <c r="C140" s="25">
        <v>3000</v>
      </c>
      <c r="D140" s="306">
        <v>3000</v>
      </c>
      <c r="E140" s="31" t="s">
        <v>436</v>
      </c>
      <c r="F140" s="78">
        <v>1762</v>
      </c>
    </row>
    <row r="141" spans="1:6" x14ac:dyDescent="0.3">
      <c r="A141" s="31" t="s">
        <v>1234</v>
      </c>
      <c r="B141" s="308" t="s">
        <v>1235</v>
      </c>
      <c r="C141" s="25">
        <v>680</v>
      </c>
      <c r="D141" s="306">
        <v>680</v>
      </c>
      <c r="E141" s="31" t="s">
        <v>436</v>
      </c>
      <c r="F141" s="78">
        <v>1762</v>
      </c>
    </row>
    <row r="142" spans="1:6" x14ac:dyDescent="0.3">
      <c r="A142" s="31" t="s">
        <v>1238</v>
      </c>
      <c r="B142" s="308" t="s">
        <v>1235</v>
      </c>
      <c r="C142" s="25">
        <v>650</v>
      </c>
      <c r="D142" s="306">
        <v>650</v>
      </c>
      <c r="E142" s="31" t="s">
        <v>436</v>
      </c>
      <c r="F142" s="78">
        <v>1762</v>
      </c>
    </row>
    <row r="143" spans="1:6" x14ac:dyDescent="0.3">
      <c r="A143" s="31" t="s">
        <v>1310</v>
      </c>
      <c r="B143" s="308" t="s">
        <v>1235</v>
      </c>
      <c r="C143" s="25">
        <v>2480</v>
      </c>
      <c r="D143" s="306">
        <v>2480</v>
      </c>
      <c r="E143" s="31" t="s">
        <v>1590</v>
      </c>
      <c r="F143" s="78">
        <v>1763</v>
      </c>
    </row>
    <row r="144" spans="1:6" x14ac:dyDescent="0.3">
      <c r="A144" s="31" t="s">
        <v>1237</v>
      </c>
      <c r="B144" s="308" t="s">
        <v>1235</v>
      </c>
      <c r="C144" s="25">
        <v>3000</v>
      </c>
      <c r="D144" s="306">
        <v>3000</v>
      </c>
      <c r="E144" s="31" t="s">
        <v>1591</v>
      </c>
      <c r="F144" s="78">
        <v>1764</v>
      </c>
    </row>
    <row r="145" spans="1:6" x14ac:dyDescent="0.3">
      <c r="A145" s="31" t="s">
        <v>1234</v>
      </c>
      <c r="B145" s="308" t="s">
        <v>1235</v>
      </c>
      <c r="C145" s="25">
        <v>850</v>
      </c>
      <c r="D145" s="306">
        <v>850</v>
      </c>
      <c r="E145" s="31" t="s">
        <v>1591</v>
      </c>
      <c r="F145" s="78">
        <v>1764</v>
      </c>
    </row>
    <row r="146" spans="1:6" x14ac:dyDescent="0.3">
      <c r="A146" s="31" t="s">
        <v>1238</v>
      </c>
      <c r="B146" s="308" t="s">
        <v>1235</v>
      </c>
      <c r="C146" s="25">
        <v>650</v>
      </c>
      <c r="D146" s="306">
        <v>650</v>
      </c>
      <c r="E146" s="31" t="s">
        <v>1591</v>
      </c>
      <c r="F146" s="78">
        <v>1764</v>
      </c>
    </row>
    <row r="147" spans="1:6" x14ac:dyDescent="0.3">
      <c r="A147" s="31" t="s">
        <v>1237</v>
      </c>
      <c r="B147" s="308" t="s">
        <v>1235</v>
      </c>
      <c r="C147" s="25">
        <v>2800</v>
      </c>
      <c r="D147" s="306">
        <v>2800</v>
      </c>
      <c r="E147" s="31" t="s">
        <v>1593</v>
      </c>
      <c r="F147" s="78">
        <v>1765</v>
      </c>
    </row>
    <row r="148" spans="1:6" x14ac:dyDescent="0.3">
      <c r="A148" s="31" t="s">
        <v>1234</v>
      </c>
      <c r="B148" s="308" t="s">
        <v>1235</v>
      </c>
      <c r="C148" s="25">
        <v>680</v>
      </c>
      <c r="D148" s="306">
        <v>680</v>
      </c>
      <c r="E148" s="31" t="s">
        <v>1593</v>
      </c>
      <c r="F148" s="78">
        <v>1765</v>
      </c>
    </row>
    <row r="149" spans="1:6" x14ac:dyDescent="0.3">
      <c r="A149" s="31" t="s">
        <v>1238</v>
      </c>
      <c r="B149" s="308" t="s">
        <v>1235</v>
      </c>
      <c r="C149" s="25">
        <v>650</v>
      </c>
      <c r="D149" s="306">
        <v>650</v>
      </c>
      <c r="E149" s="31" t="s">
        <v>1593</v>
      </c>
      <c r="F149" s="78">
        <v>1765</v>
      </c>
    </row>
    <row r="150" spans="1:6" x14ac:dyDescent="0.3">
      <c r="A150" s="31" t="s">
        <v>1237</v>
      </c>
      <c r="B150" s="308" t="s">
        <v>1235</v>
      </c>
      <c r="C150" s="25">
        <v>3000</v>
      </c>
      <c r="D150" s="306">
        <v>3000</v>
      </c>
      <c r="E150" s="31" t="s">
        <v>1595</v>
      </c>
      <c r="F150" s="78">
        <v>1766</v>
      </c>
    </row>
    <row r="151" spans="1:6" x14ac:dyDescent="0.3">
      <c r="A151" s="31" t="s">
        <v>1234</v>
      </c>
      <c r="B151" s="308" t="s">
        <v>1235</v>
      </c>
      <c r="C151" s="25">
        <v>680</v>
      </c>
      <c r="D151" s="306">
        <v>680</v>
      </c>
      <c r="E151" s="31" t="s">
        <v>1595</v>
      </c>
      <c r="F151" s="78">
        <v>1766</v>
      </c>
    </row>
    <row r="152" spans="1:6" x14ac:dyDescent="0.3">
      <c r="A152" s="31" t="s">
        <v>1238</v>
      </c>
      <c r="B152" s="308" t="s">
        <v>1235</v>
      </c>
      <c r="C152" s="25">
        <v>650</v>
      </c>
      <c r="D152" s="306">
        <v>650</v>
      </c>
      <c r="E152" s="31" t="s">
        <v>1595</v>
      </c>
      <c r="F152" s="78">
        <v>1766</v>
      </c>
    </row>
    <row r="153" spans="1:6" x14ac:dyDescent="0.3">
      <c r="A153" s="31" t="s">
        <v>1237</v>
      </c>
      <c r="B153" s="308" t="s">
        <v>1235</v>
      </c>
      <c r="C153" s="25">
        <v>3000</v>
      </c>
      <c r="D153" s="306">
        <v>3000</v>
      </c>
      <c r="E153" s="31" t="s">
        <v>1596</v>
      </c>
      <c r="F153" s="78">
        <v>1767</v>
      </c>
    </row>
    <row r="154" spans="1:6" x14ac:dyDescent="0.3">
      <c r="A154" s="31" t="s">
        <v>1234</v>
      </c>
      <c r="B154" s="308" t="s">
        <v>1235</v>
      </c>
      <c r="C154" s="25">
        <v>680</v>
      </c>
      <c r="D154" s="306">
        <v>680</v>
      </c>
      <c r="E154" s="31" t="s">
        <v>1596</v>
      </c>
      <c r="F154" s="78">
        <v>1767</v>
      </c>
    </row>
    <row r="155" spans="1:6" x14ac:dyDescent="0.3">
      <c r="A155" s="31" t="s">
        <v>1238</v>
      </c>
      <c r="B155" s="308" t="s">
        <v>1235</v>
      </c>
      <c r="C155" s="25">
        <v>650</v>
      </c>
      <c r="D155" s="306">
        <v>650</v>
      </c>
      <c r="E155" s="31" t="s">
        <v>1596</v>
      </c>
      <c r="F155" s="78">
        <v>1767</v>
      </c>
    </row>
    <row r="156" spans="1:6" x14ac:dyDescent="0.3">
      <c r="A156" s="31" t="s">
        <v>1246</v>
      </c>
      <c r="B156" s="308" t="s">
        <v>1235</v>
      </c>
      <c r="C156" s="25">
        <v>890</v>
      </c>
      <c r="D156" s="306">
        <v>890</v>
      </c>
      <c r="E156" s="31" t="s">
        <v>1597</v>
      </c>
      <c r="F156" s="78">
        <v>1768</v>
      </c>
    </row>
    <row r="157" spans="1:6" x14ac:dyDescent="0.3">
      <c r="A157" s="31" t="s">
        <v>1246</v>
      </c>
      <c r="B157" s="308" t="s">
        <v>1235</v>
      </c>
      <c r="C157" s="25">
        <v>890</v>
      </c>
      <c r="D157" s="306">
        <v>890</v>
      </c>
      <c r="E157" s="31" t="s">
        <v>1598</v>
      </c>
      <c r="F157" s="78">
        <v>1769</v>
      </c>
    </row>
    <row r="158" spans="1:6" x14ac:dyDescent="0.3">
      <c r="A158" s="31" t="s">
        <v>1271</v>
      </c>
      <c r="B158" s="308" t="s">
        <v>1235</v>
      </c>
      <c r="C158" s="25">
        <v>650</v>
      </c>
      <c r="D158" s="306">
        <v>650</v>
      </c>
      <c r="E158" s="31" t="s">
        <v>1598</v>
      </c>
      <c r="F158" s="78">
        <v>1769</v>
      </c>
    </row>
    <row r="159" spans="1:6" x14ac:dyDescent="0.3">
      <c r="A159" s="31" t="s">
        <v>1254</v>
      </c>
      <c r="B159" s="308" t="s">
        <v>1235</v>
      </c>
      <c r="C159" s="25">
        <v>790</v>
      </c>
      <c r="D159" s="306">
        <v>790</v>
      </c>
      <c r="E159" s="31" t="s">
        <v>1599</v>
      </c>
      <c r="F159" s="78">
        <v>1770</v>
      </c>
    </row>
    <row r="160" spans="1:6" x14ac:dyDescent="0.3">
      <c r="A160" s="31" t="s">
        <v>1246</v>
      </c>
      <c r="B160" s="308" t="s">
        <v>1235</v>
      </c>
      <c r="C160" s="25">
        <v>2560</v>
      </c>
      <c r="D160" s="306">
        <v>2560</v>
      </c>
      <c r="E160" s="31" t="s">
        <v>1601</v>
      </c>
      <c r="F160" s="78">
        <v>1772</v>
      </c>
    </row>
    <row r="161" spans="1:6" x14ac:dyDescent="0.3">
      <c r="A161" s="31" t="s">
        <v>1237</v>
      </c>
      <c r="B161" s="308" t="s">
        <v>1235</v>
      </c>
      <c r="C161" s="25">
        <v>3000</v>
      </c>
      <c r="D161" s="306">
        <v>3000</v>
      </c>
      <c r="E161" s="31" t="s">
        <v>1603</v>
      </c>
      <c r="F161" s="78">
        <v>1773</v>
      </c>
    </row>
    <row r="162" spans="1:6" x14ac:dyDescent="0.3">
      <c r="A162" s="31" t="s">
        <v>1234</v>
      </c>
      <c r="B162" s="308" t="s">
        <v>1235</v>
      </c>
      <c r="C162" s="25">
        <v>680</v>
      </c>
      <c r="D162" s="306">
        <v>680</v>
      </c>
      <c r="E162" s="31" t="s">
        <v>1603</v>
      </c>
      <c r="F162" s="78">
        <v>1773</v>
      </c>
    </row>
    <row r="163" spans="1:6" x14ac:dyDescent="0.3">
      <c r="A163" s="31" t="s">
        <v>1238</v>
      </c>
      <c r="B163" s="308" t="s">
        <v>1235</v>
      </c>
      <c r="C163" s="25">
        <v>650</v>
      </c>
      <c r="D163" s="306">
        <v>650</v>
      </c>
      <c r="E163" s="31" t="s">
        <v>1603</v>
      </c>
      <c r="F163" s="78">
        <v>1773</v>
      </c>
    </row>
    <row r="164" spans="1:6" x14ac:dyDescent="0.3">
      <c r="A164" s="31" t="s">
        <v>1237</v>
      </c>
      <c r="B164" s="308" t="s">
        <v>1235</v>
      </c>
      <c r="C164" s="25">
        <v>3000</v>
      </c>
      <c r="D164" s="306">
        <v>3000</v>
      </c>
      <c r="E164" s="31" t="s">
        <v>1603</v>
      </c>
      <c r="F164" s="78">
        <v>1774</v>
      </c>
    </row>
    <row r="165" spans="1:6" x14ac:dyDescent="0.3">
      <c r="A165" s="31" t="s">
        <v>1234</v>
      </c>
      <c r="B165" s="308" t="s">
        <v>1235</v>
      </c>
      <c r="C165" s="25">
        <v>680</v>
      </c>
      <c r="D165" s="306">
        <v>680</v>
      </c>
      <c r="E165" s="31" t="s">
        <v>1603</v>
      </c>
      <c r="F165" s="78">
        <v>1774</v>
      </c>
    </row>
    <row r="166" spans="1:6" x14ac:dyDescent="0.3">
      <c r="A166" s="31" t="s">
        <v>1238</v>
      </c>
      <c r="B166" s="308" t="s">
        <v>1235</v>
      </c>
      <c r="C166" s="25">
        <v>650</v>
      </c>
      <c r="D166" s="306">
        <v>650</v>
      </c>
      <c r="E166" s="31" t="s">
        <v>1603</v>
      </c>
      <c r="F166" s="78">
        <v>1774</v>
      </c>
    </row>
    <row r="167" spans="1:6" x14ac:dyDescent="0.3">
      <c r="A167" s="31" t="s">
        <v>1289</v>
      </c>
      <c r="B167" s="308" t="s">
        <v>1235</v>
      </c>
      <c r="C167" s="25">
        <v>2675</v>
      </c>
      <c r="D167" s="306">
        <v>2675</v>
      </c>
      <c r="E167" s="31" t="s">
        <v>1569</v>
      </c>
      <c r="F167" s="78">
        <v>1776</v>
      </c>
    </row>
    <row r="168" spans="1:6" x14ac:dyDescent="0.3">
      <c r="A168" s="31" t="s">
        <v>1237</v>
      </c>
      <c r="B168" s="308" t="s">
        <v>1611</v>
      </c>
      <c r="C168" s="25">
        <v>4000</v>
      </c>
      <c r="D168" s="306">
        <v>20000</v>
      </c>
      <c r="E168" s="31" t="s">
        <v>1569</v>
      </c>
      <c r="F168" s="78">
        <v>1776</v>
      </c>
    </row>
    <row r="169" spans="1:6" x14ac:dyDescent="0.3">
      <c r="A169" s="31" t="s">
        <v>1271</v>
      </c>
      <c r="B169" s="308" t="s">
        <v>1235</v>
      </c>
      <c r="C169" s="25">
        <v>660</v>
      </c>
      <c r="D169" s="306">
        <v>660</v>
      </c>
      <c r="E169" s="31" t="s">
        <v>1569</v>
      </c>
      <c r="F169" s="78">
        <v>1776</v>
      </c>
    </row>
    <row r="170" spans="1:6" x14ac:dyDescent="0.3">
      <c r="A170" s="31" t="s">
        <v>1238</v>
      </c>
      <c r="B170" s="308" t="s">
        <v>1611</v>
      </c>
      <c r="C170" s="25">
        <v>790</v>
      </c>
      <c r="D170" s="306">
        <v>3950</v>
      </c>
      <c r="E170" s="31" t="s">
        <v>1569</v>
      </c>
      <c r="F170" s="78">
        <v>1776</v>
      </c>
    </row>
    <row r="171" spans="1:6" x14ac:dyDescent="0.3">
      <c r="A171" s="31" t="s">
        <v>1254</v>
      </c>
      <c r="B171" s="308" t="s">
        <v>1235</v>
      </c>
      <c r="C171" s="25">
        <v>680</v>
      </c>
      <c r="D171" s="306">
        <v>680</v>
      </c>
      <c r="E171" s="31" t="s">
        <v>1277</v>
      </c>
      <c r="F171" s="78">
        <v>1777</v>
      </c>
    </row>
    <row r="172" spans="1:6" x14ac:dyDescent="0.3">
      <c r="A172" s="31" t="s">
        <v>1234</v>
      </c>
      <c r="B172" s="308" t="s">
        <v>1235</v>
      </c>
      <c r="C172" s="25">
        <v>480</v>
      </c>
      <c r="D172" s="306">
        <v>480</v>
      </c>
      <c r="E172" s="31" t="s">
        <v>1295</v>
      </c>
      <c r="F172" s="78">
        <v>1778</v>
      </c>
    </row>
    <row r="173" spans="1:6" x14ac:dyDescent="0.3">
      <c r="A173" s="31" t="s">
        <v>1237</v>
      </c>
      <c r="B173" s="308" t="s">
        <v>1235</v>
      </c>
      <c r="C173" s="25">
        <v>3000</v>
      </c>
      <c r="D173" s="306">
        <v>3000</v>
      </c>
      <c r="E173" s="31" t="s">
        <v>1295</v>
      </c>
      <c r="F173" s="78">
        <v>1778</v>
      </c>
    </row>
    <row r="174" spans="1:6" x14ac:dyDescent="0.3">
      <c r="A174" s="31" t="s">
        <v>1238</v>
      </c>
      <c r="B174" s="308" t="s">
        <v>1235</v>
      </c>
      <c r="C174" s="25">
        <v>650</v>
      </c>
      <c r="D174" s="306">
        <v>650</v>
      </c>
      <c r="E174" s="31" t="s">
        <v>1295</v>
      </c>
      <c r="F174" s="78">
        <v>1778</v>
      </c>
    </row>
    <row r="175" spans="1:6" x14ac:dyDescent="0.3">
      <c r="A175" s="31" t="s">
        <v>1246</v>
      </c>
      <c r="B175" s="308" t="s">
        <v>1235</v>
      </c>
      <c r="C175" s="25">
        <v>790</v>
      </c>
      <c r="D175" s="306">
        <v>790</v>
      </c>
      <c r="E175" s="31" t="s">
        <v>1701</v>
      </c>
      <c r="F175" s="78">
        <v>1779</v>
      </c>
    </row>
    <row r="176" spans="1:6" x14ac:dyDescent="0.3">
      <c r="A176" s="31" t="s">
        <v>1237</v>
      </c>
      <c r="B176" s="308" t="s">
        <v>1235</v>
      </c>
      <c r="C176" s="25">
        <v>4500</v>
      </c>
      <c r="D176" s="306">
        <v>4500</v>
      </c>
      <c r="E176" s="31" t="s">
        <v>1385</v>
      </c>
      <c r="F176" s="78">
        <v>1780</v>
      </c>
    </row>
    <row r="177" spans="1:6" x14ac:dyDescent="0.3">
      <c r="A177" s="31" t="s">
        <v>1246</v>
      </c>
      <c r="B177" s="308" t="s">
        <v>1235</v>
      </c>
      <c r="C177" s="25">
        <v>590</v>
      </c>
      <c r="D177" s="306">
        <v>590</v>
      </c>
      <c r="E177" s="31" t="s">
        <v>1580</v>
      </c>
      <c r="F177" s="78">
        <v>1781</v>
      </c>
    </row>
    <row r="178" spans="1:6" x14ac:dyDescent="0.3">
      <c r="A178" s="31" t="s">
        <v>1234</v>
      </c>
      <c r="B178" s="308" t="s">
        <v>1261</v>
      </c>
      <c r="C178" s="25">
        <v>680</v>
      </c>
      <c r="D178" s="306">
        <v>2040</v>
      </c>
      <c r="E178" s="31" t="s">
        <v>1378</v>
      </c>
      <c r="F178" s="78">
        <v>1782</v>
      </c>
    </row>
    <row r="179" spans="1:6" x14ac:dyDescent="0.3">
      <c r="A179" s="31" t="s">
        <v>1237</v>
      </c>
      <c r="B179" s="308" t="s">
        <v>1261</v>
      </c>
      <c r="C179" s="25">
        <v>3000</v>
      </c>
      <c r="D179" s="306">
        <v>9000</v>
      </c>
      <c r="E179" s="31" t="s">
        <v>1378</v>
      </c>
      <c r="F179" s="78">
        <v>1782</v>
      </c>
    </row>
    <row r="180" spans="1:6" x14ac:dyDescent="0.3">
      <c r="A180" s="31" t="s">
        <v>1238</v>
      </c>
      <c r="B180" s="308" t="s">
        <v>1261</v>
      </c>
      <c r="C180" s="25">
        <v>650</v>
      </c>
      <c r="D180" s="306">
        <v>1950</v>
      </c>
      <c r="E180" s="31" t="s">
        <v>1378</v>
      </c>
      <c r="F180" s="78">
        <v>1782</v>
      </c>
    </row>
    <row r="181" spans="1:6" x14ac:dyDescent="0.3">
      <c r="A181" s="31" t="s">
        <v>1237</v>
      </c>
      <c r="B181" s="308" t="s">
        <v>1235</v>
      </c>
      <c r="C181" s="25">
        <v>4500</v>
      </c>
      <c r="D181" s="306">
        <v>4500</v>
      </c>
      <c r="E181" s="31" t="s">
        <v>1385</v>
      </c>
      <c r="F181" s="78">
        <v>1783</v>
      </c>
    </row>
    <row r="182" spans="1:6" x14ac:dyDescent="0.3">
      <c r="A182" s="31" t="s">
        <v>1310</v>
      </c>
      <c r="B182" s="308" t="s">
        <v>1235</v>
      </c>
      <c r="C182" s="25">
        <v>2625</v>
      </c>
      <c r="D182" s="306">
        <v>2625</v>
      </c>
      <c r="E182" s="31" t="s">
        <v>1385</v>
      </c>
      <c r="F182" s="78">
        <v>1783</v>
      </c>
    </row>
    <row r="183" spans="1:6" x14ac:dyDescent="0.3">
      <c r="A183" s="31" t="s">
        <v>1386</v>
      </c>
      <c r="B183" s="308" t="s">
        <v>1235</v>
      </c>
      <c r="C183" s="25">
        <v>3750</v>
      </c>
      <c r="D183" s="306">
        <v>3750</v>
      </c>
      <c r="E183" s="31" t="s">
        <v>1582</v>
      </c>
      <c r="F183" s="78">
        <v>1784</v>
      </c>
    </row>
    <row r="184" spans="1:6" x14ac:dyDescent="0.3">
      <c r="A184" s="31" t="s">
        <v>1254</v>
      </c>
      <c r="B184" s="308" t="s">
        <v>1262</v>
      </c>
      <c r="C184" s="25">
        <v>1125</v>
      </c>
      <c r="D184" s="306">
        <v>2250</v>
      </c>
      <c r="E184" s="31" t="s">
        <v>1385</v>
      </c>
      <c r="F184" s="78">
        <v>1785</v>
      </c>
    </row>
    <row r="185" spans="1:6" x14ac:dyDescent="0.3">
      <c r="A185" s="31" t="s">
        <v>1237</v>
      </c>
      <c r="B185" s="308" t="s">
        <v>1235</v>
      </c>
      <c r="C185" s="25">
        <v>4500</v>
      </c>
      <c r="D185" s="306">
        <v>4500</v>
      </c>
      <c r="E185" s="31" t="s">
        <v>1582</v>
      </c>
      <c r="F185" s="78">
        <v>1786</v>
      </c>
    </row>
    <row r="186" spans="1:6" x14ac:dyDescent="0.3">
      <c r="A186" s="31" t="s">
        <v>1310</v>
      </c>
      <c r="B186" s="308" t="s">
        <v>1235</v>
      </c>
      <c r="C186" s="25">
        <v>3000</v>
      </c>
      <c r="D186" s="306">
        <v>3000</v>
      </c>
      <c r="E186" s="31" t="s">
        <v>1582</v>
      </c>
      <c r="F186" s="78">
        <v>1786</v>
      </c>
    </row>
    <row r="187" spans="1:6" x14ac:dyDescent="0.3">
      <c r="A187" s="31" t="s">
        <v>1272</v>
      </c>
      <c r="B187" s="308" t="s">
        <v>1235</v>
      </c>
      <c r="C187" s="25">
        <v>5100</v>
      </c>
      <c r="D187" s="306">
        <v>5100</v>
      </c>
      <c r="E187" s="31" t="s">
        <v>1582</v>
      </c>
      <c r="F187" s="78">
        <v>1787</v>
      </c>
    </row>
    <row r="188" spans="1:6" x14ac:dyDescent="0.3">
      <c r="A188" s="31" t="s">
        <v>1234</v>
      </c>
      <c r="B188" s="308" t="s">
        <v>1235</v>
      </c>
      <c r="C188" s="25">
        <v>680</v>
      </c>
      <c r="D188" s="306">
        <v>680</v>
      </c>
      <c r="E188" s="31" t="s">
        <v>1704</v>
      </c>
      <c r="F188" s="78">
        <v>1788</v>
      </c>
    </row>
    <row r="189" spans="1:6" x14ac:dyDescent="0.3">
      <c r="A189" s="31" t="s">
        <v>1237</v>
      </c>
      <c r="B189" s="308" t="s">
        <v>1235</v>
      </c>
      <c r="C189" s="25">
        <v>3000</v>
      </c>
      <c r="D189" s="306">
        <v>3000</v>
      </c>
      <c r="E189" s="31" t="s">
        <v>1704</v>
      </c>
      <c r="F189" s="78">
        <v>1788</v>
      </c>
    </row>
    <row r="190" spans="1:6" x14ac:dyDescent="0.3">
      <c r="A190" s="31" t="s">
        <v>1238</v>
      </c>
      <c r="B190" s="308" t="s">
        <v>1235</v>
      </c>
      <c r="C190" s="25">
        <v>650</v>
      </c>
      <c r="D190" s="306">
        <v>650</v>
      </c>
      <c r="E190" s="31" t="s">
        <v>1704</v>
      </c>
      <c r="F190" s="78">
        <v>1788</v>
      </c>
    </row>
    <row r="191" spans="1:6" x14ac:dyDescent="0.3">
      <c r="A191" s="31" t="s">
        <v>1246</v>
      </c>
      <c r="B191" s="308" t="s">
        <v>1235</v>
      </c>
      <c r="C191" s="25">
        <v>890</v>
      </c>
      <c r="D191" s="306">
        <v>890</v>
      </c>
      <c r="E191" s="31" t="s">
        <v>1703</v>
      </c>
      <c r="F191" s="78">
        <v>1789</v>
      </c>
    </row>
    <row r="192" spans="1:6" x14ac:dyDescent="0.3">
      <c r="A192" s="31" t="s">
        <v>1234</v>
      </c>
      <c r="B192" s="308" t="s">
        <v>1235</v>
      </c>
      <c r="C192" s="25">
        <v>890</v>
      </c>
      <c r="D192" s="306">
        <v>890</v>
      </c>
      <c r="E192" s="31" t="s">
        <v>1702</v>
      </c>
      <c r="F192" s="78">
        <v>1790</v>
      </c>
    </row>
    <row r="193" spans="1:6" x14ac:dyDescent="0.3">
      <c r="A193" s="31" t="s">
        <v>1237</v>
      </c>
      <c r="B193" s="308" t="s">
        <v>1235</v>
      </c>
      <c r="C193" s="25">
        <v>4660</v>
      </c>
      <c r="D193" s="306">
        <v>4660</v>
      </c>
      <c r="E193" s="31" t="s">
        <v>1702</v>
      </c>
      <c r="F193" s="78">
        <v>1790</v>
      </c>
    </row>
    <row r="194" spans="1:6" x14ac:dyDescent="0.3">
      <c r="A194" s="31" t="s">
        <v>1238</v>
      </c>
      <c r="B194" s="308" t="s">
        <v>1235</v>
      </c>
      <c r="C194" s="25">
        <v>650</v>
      </c>
      <c r="D194" s="306">
        <v>650</v>
      </c>
      <c r="E194" s="31" t="s">
        <v>1702</v>
      </c>
      <c r="F194" s="78">
        <v>1790</v>
      </c>
    </row>
    <row r="195" spans="1:6" x14ac:dyDescent="0.3">
      <c r="A195" s="31" t="s">
        <v>1246</v>
      </c>
      <c r="B195" s="308" t="s">
        <v>1235</v>
      </c>
      <c r="C195" s="25">
        <v>890</v>
      </c>
      <c r="D195" s="306">
        <v>890</v>
      </c>
      <c r="E195" s="31" t="s">
        <v>1708</v>
      </c>
      <c r="F195" s="78">
        <v>1791</v>
      </c>
    </row>
    <row r="196" spans="1:6" x14ac:dyDescent="0.3">
      <c r="A196" s="31" t="s">
        <v>1246</v>
      </c>
      <c r="B196" s="308" t="s">
        <v>1235</v>
      </c>
      <c r="C196" s="25">
        <v>890</v>
      </c>
      <c r="D196" s="306">
        <v>890</v>
      </c>
      <c r="E196" s="31" t="s">
        <v>1709</v>
      </c>
      <c r="F196" s="78">
        <v>1793</v>
      </c>
    </row>
    <row r="197" spans="1:6" x14ac:dyDescent="0.3">
      <c r="A197" s="31" t="s">
        <v>1234</v>
      </c>
      <c r="B197" s="308" t="s">
        <v>1235</v>
      </c>
      <c r="C197" s="25">
        <v>680</v>
      </c>
      <c r="D197" s="306">
        <v>680</v>
      </c>
      <c r="E197" s="31" t="s">
        <v>1713</v>
      </c>
      <c r="F197" s="78">
        <v>1794</v>
      </c>
    </row>
    <row r="198" spans="1:6" x14ac:dyDescent="0.3">
      <c r="A198" s="31" t="s">
        <v>1237</v>
      </c>
      <c r="B198" s="308" t="s">
        <v>1235</v>
      </c>
      <c r="C198" s="25">
        <v>3000</v>
      </c>
      <c r="D198" s="306">
        <v>3000</v>
      </c>
      <c r="E198" s="31" t="s">
        <v>1713</v>
      </c>
      <c r="F198" s="78">
        <v>1794</v>
      </c>
    </row>
    <row r="199" spans="1:6" x14ac:dyDescent="0.3">
      <c r="A199" s="31" t="s">
        <v>1238</v>
      </c>
      <c r="B199" s="308" t="s">
        <v>1235</v>
      </c>
      <c r="C199" s="25">
        <v>650</v>
      </c>
      <c r="D199" s="306">
        <v>650</v>
      </c>
      <c r="E199" s="31" t="s">
        <v>1713</v>
      </c>
      <c r="F199" s="78">
        <v>1794</v>
      </c>
    </row>
    <row r="200" spans="1:6" x14ac:dyDescent="0.3">
      <c r="A200" s="31" t="s">
        <v>1234</v>
      </c>
      <c r="B200" s="308" t="s">
        <v>1235</v>
      </c>
      <c r="C200" s="25">
        <v>680</v>
      </c>
      <c r="D200" s="306">
        <v>680</v>
      </c>
      <c r="E200" s="31" t="s">
        <v>1713</v>
      </c>
      <c r="F200" s="78">
        <v>1795</v>
      </c>
    </row>
    <row r="201" spans="1:6" x14ac:dyDescent="0.3">
      <c r="A201" s="31" t="s">
        <v>1237</v>
      </c>
      <c r="B201" s="308" t="s">
        <v>1235</v>
      </c>
      <c r="C201" s="25">
        <v>3000</v>
      </c>
      <c r="D201" s="306">
        <v>3000</v>
      </c>
      <c r="E201" s="31" t="s">
        <v>1713</v>
      </c>
      <c r="F201" s="78">
        <v>1795</v>
      </c>
    </row>
    <row r="202" spans="1:6" x14ac:dyDescent="0.3">
      <c r="A202" s="31" t="s">
        <v>1238</v>
      </c>
      <c r="B202" s="308" t="s">
        <v>1235</v>
      </c>
      <c r="C202" s="25">
        <v>650</v>
      </c>
      <c r="D202" s="306">
        <v>650</v>
      </c>
      <c r="E202" s="31" t="s">
        <v>1713</v>
      </c>
      <c r="F202" s="78">
        <v>1795</v>
      </c>
    </row>
    <row r="203" spans="1:6" x14ac:dyDescent="0.3">
      <c r="A203" s="31" t="s">
        <v>1246</v>
      </c>
      <c r="B203" s="308" t="s">
        <v>1235</v>
      </c>
      <c r="C203" s="25">
        <v>890</v>
      </c>
      <c r="D203" s="306">
        <v>890</v>
      </c>
      <c r="E203" s="31" t="s">
        <v>1714</v>
      </c>
      <c r="F203" s="78">
        <v>1796</v>
      </c>
    </row>
    <row r="204" spans="1:6" x14ac:dyDescent="0.3">
      <c r="A204" s="31" t="s">
        <v>1271</v>
      </c>
      <c r="B204" s="308" t="s">
        <v>1235</v>
      </c>
      <c r="C204" s="25">
        <v>966</v>
      </c>
      <c r="D204" s="306">
        <v>966</v>
      </c>
      <c r="E204" s="31" t="s">
        <v>1714</v>
      </c>
      <c r="F204" s="78">
        <v>1796</v>
      </c>
    </row>
    <row r="205" spans="1:6" x14ac:dyDescent="0.3">
      <c r="A205" s="31" t="s">
        <v>1246</v>
      </c>
      <c r="B205" s="308" t="s">
        <v>1235</v>
      </c>
      <c r="C205" s="25">
        <v>890</v>
      </c>
      <c r="D205" s="306">
        <v>890</v>
      </c>
      <c r="E205" s="31" t="s">
        <v>1715</v>
      </c>
      <c r="F205" s="78">
        <v>1797</v>
      </c>
    </row>
    <row r="206" spans="1:6" x14ac:dyDescent="0.3">
      <c r="A206" s="31" t="s">
        <v>1234</v>
      </c>
      <c r="B206" s="308" t="s">
        <v>1235</v>
      </c>
      <c r="C206" s="25">
        <v>590</v>
      </c>
      <c r="D206" s="306">
        <v>590</v>
      </c>
      <c r="E206" s="31" t="s">
        <v>1752</v>
      </c>
      <c r="F206" s="78">
        <v>1804</v>
      </c>
    </row>
    <row r="207" spans="1:6" x14ac:dyDescent="0.3">
      <c r="A207" s="31" t="s">
        <v>1751</v>
      </c>
      <c r="B207" s="308" t="s">
        <v>1235</v>
      </c>
      <c r="C207" s="25">
        <v>420</v>
      </c>
      <c r="D207" s="306">
        <v>420</v>
      </c>
      <c r="E207" s="31" t="s">
        <v>1752</v>
      </c>
      <c r="F207" s="78">
        <v>1804</v>
      </c>
    </row>
    <row r="208" spans="1:6" x14ac:dyDescent="0.3">
      <c r="A208" s="31" t="s">
        <v>1238</v>
      </c>
      <c r="B208" s="308" t="s">
        <v>1235</v>
      </c>
      <c r="C208" s="25">
        <v>650</v>
      </c>
      <c r="D208" s="306">
        <v>650</v>
      </c>
      <c r="E208" s="31" t="s">
        <v>1752</v>
      </c>
      <c r="F208" s="78">
        <v>1804</v>
      </c>
    </row>
    <row r="209" spans="1:6" x14ac:dyDescent="0.3">
      <c r="A209" s="31" t="s">
        <v>1234</v>
      </c>
      <c r="B209" s="308" t="s">
        <v>1235</v>
      </c>
      <c r="C209" s="25">
        <v>1390</v>
      </c>
      <c r="D209" s="306">
        <v>1390</v>
      </c>
      <c r="E209" s="31" t="s">
        <v>1569</v>
      </c>
      <c r="F209" s="78">
        <v>1802</v>
      </c>
    </row>
    <row r="210" spans="1:6" x14ac:dyDescent="0.3">
      <c r="A210" s="31" t="s">
        <v>1238</v>
      </c>
      <c r="B210" s="308" t="s">
        <v>1235</v>
      </c>
      <c r="C210" s="25">
        <v>650</v>
      </c>
      <c r="D210" s="306">
        <v>650</v>
      </c>
      <c r="E210" s="31" t="s">
        <v>1569</v>
      </c>
      <c r="F210" s="78">
        <v>1802</v>
      </c>
    </row>
    <row r="211" spans="1:6" x14ac:dyDescent="0.3">
      <c r="A211" s="31" t="s">
        <v>1237</v>
      </c>
      <c r="B211" s="308" t="s">
        <v>1235</v>
      </c>
      <c r="C211" s="25">
        <v>9000</v>
      </c>
      <c r="D211" s="306">
        <v>9000</v>
      </c>
      <c r="E211" s="31" t="s">
        <v>1569</v>
      </c>
      <c r="F211" s="78">
        <v>1802</v>
      </c>
    </row>
    <row r="212" spans="1:6" x14ac:dyDescent="0.3">
      <c r="A212" s="31" t="s">
        <v>1234</v>
      </c>
      <c r="B212" s="308" t="s">
        <v>1235</v>
      </c>
      <c r="C212" s="25">
        <v>850</v>
      </c>
      <c r="D212" s="346">
        <v>850</v>
      </c>
      <c r="E212" s="31" t="s">
        <v>1757</v>
      </c>
      <c r="F212" s="78">
        <v>1801</v>
      </c>
    </row>
    <row r="213" spans="1:6" x14ac:dyDescent="0.3">
      <c r="A213" s="31" t="s">
        <v>1237</v>
      </c>
      <c r="B213" s="308" t="s">
        <v>1235</v>
      </c>
      <c r="C213" s="25">
        <v>3000</v>
      </c>
      <c r="D213" s="346">
        <v>3000</v>
      </c>
      <c r="E213" s="31" t="s">
        <v>1757</v>
      </c>
      <c r="F213" s="78">
        <v>1801</v>
      </c>
    </row>
    <row r="214" spans="1:6" x14ac:dyDescent="0.3">
      <c r="A214" s="31" t="s">
        <v>1238</v>
      </c>
      <c r="B214" s="308" t="s">
        <v>1235</v>
      </c>
      <c r="C214" s="25">
        <v>650</v>
      </c>
      <c r="D214" s="346">
        <v>650</v>
      </c>
      <c r="E214" s="31" t="s">
        <v>1757</v>
      </c>
      <c r="F214" s="78">
        <v>1801</v>
      </c>
    </row>
    <row r="215" spans="1:6" x14ac:dyDescent="0.3">
      <c r="A215" s="31" t="s">
        <v>1246</v>
      </c>
      <c r="B215" s="308" t="s">
        <v>1235</v>
      </c>
      <c r="C215" s="25">
        <v>890</v>
      </c>
      <c r="D215" s="306">
        <v>890</v>
      </c>
      <c r="E215" s="31" t="s">
        <v>1317</v>
      </c>
      <c r="F215" s="78">
        <v>1800</v>
      </c>
    </row>
    <row r="216" spans="1:6" x14ac:dyDescent="0.3">
      <c r="A216" s="31" t="s">
        <v>1246</v>
      </c>
      <c r="B216" s="308" t="s">
        <v>1235</v>
      </c>
      <c r="C216" s="25">
        <v>790</v>
      </c>
      <c r="D216" s="306">
        <v>790</v>
      </c>
      <c r="E216" s="31" t="s">
        <v>1770</v>
      </c>
      <c r="F216" s="78">
        <v>1799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572D-68C0-4234-B826-F8E2169925C1}">
  <sheetPr>
    <tabColor theme="8" tint="-0.499984740745262"/>
  </sheetPr>
  <dimension ref="A1:H471"/>
  <sheetViews>
    <sheetView showGridLines="0" workbookViewId="0">
      <pane ySplit="1" topLeftCell="A459" activePane="bottomLeft" state="frozen"/>
      <selection pane="bottomLeft" activeCell="A472" sqref="A472"/>
    </sheetView>
  </sheetViews>
  <sheetFormatPr defaultRowHeight="16.5" x14ac:dyDescent="0.3"/>
  <cols>
    <col min="1" max="1" width="51.25" style="31" bestFit="1" customWidth="1"/>
    <col min="2" max="2" width="16.875" style="330" bestFit="1" customWidth="1"/>
    <col min="3" max="3" width="11.5" style="308" bestFit="1" customWidth="1"/>
    <col min="4" max="4" width="8.875" bestFit="1" customWidth="1"/>
    <col min="5" max="5" width="16.125" style="306" bestFit="1" customWidth="1"/>
    <col min="6" max="6" width="14" style="306" bestFit="1" customWidth="1"/>
    <col min="7" max="7" width="31.625" bestFit="1" customWidth="1"/>
    <col min="8" max="8" width="7.875" style="78" bestFit="1" customWidth="1"/>
  </cols>
  <sheetData>
    <row r="1" spans="1:8" x14ac:dyDescent="0.3">
      <c r="A1" s="331" t="s">
        <v>981</v>
      </c>
      <c r="B1" s="329" t="s">
        <v>1215</v>
      </c>
      <c r="C1" s="307" t="s">
        <v>1239</v>
      </c>
      <c r="D1" t="s">
        <v>1217</v>
      </c>
      <c r="E1" s="306" t="s">
        <v>1612</v>
      </c>
      <c r="F1" s="306" t="s">
        <v>1219</v>
      </c>
      <c r="G1" t="s">
        <v>0</v>
      </c>
      <c r="H1" s="78" t="s">
        <v>1</v>
      </c>
    </row>
    <row r="2" spans="1:8" x14ac:dyDescent="0.3">
      <c r="A2" s="31" t="s">
        <v>1286</v>
      </c>
      <c r="B2" s="330" t="s">
        <v>1220</v>
      </c>
      <c r="C2" s="308">
        <v>1</v>
      </c>
      <c r="D2">
        <v>85365090</v>
      </c>
      <c r="E2" s="309">
        <v>486</v>
      </c>
      <c r="F2" s="306">
        <v>486</v>
      </c>
      <c r="G2" t="s">
        <v>1284</v>
      </c>
      <c r="H2" s="78">
        <v>1543</v>
      </c>
    </row>
    <row r="3" spans="1:8" x14ac:dyDescent="0.3">
      <c r="A3" s="31" t="s">
        <v>1285</v>
      </c>
      <c r="B3" s="330" t="s">
        <v>1220</v>
      </c>
      <c r="C3" s="308">
        <v>1</v>
      </c>
      <c r="D3">
        <v>39219019</v>
      </c>
      <c r="E3" s="309">
        <v>25500</v>
      </c>
      <c r="F3" s="306">
        <v>25500</v>
      </c>
      <c r="G3" t="s">
        <v>1284</v>
      </c>
      <c r="H3" s="78">
        <v>1543</v>
      </c>
    </row>
    <row r="4" spans="1:8" x14ac:dyDescent="0.3">
      <c r="A4" s="31" t="s">
        <v>1287</v>
      </c>
      <c r="B4" s="330" t="s">
        <v>1220</v>
      </c>
      <c r="C4" s="308">
        <v>1</v>
      </c>
      <c r="D4">
        <v>90329010</v>
      </c>
      <c r="E4" s="309">
        <v>2834.3</v>
      </c>
      <c r="F4" s="306">
        <v>2834.3</v>
      </c>
      <c r="G4" t="s">
        <v>1284</v>
      </c>
      <c r="H4" s="78">
        <v>1543</v>
      </c>
    </row>
    <row r="5" spans="1:8" x14ac:dyDescent="0.3">
      <c r="A5" s="31" t="s">
        <v>1278</v>
      </c>
      <c r="B5" s="330" t="s">
        <v>1220</v>
      </c>
      <c r="C5" s="308">
        <v>1</v>
      </c>
      <c r="D5">
        <v>85261000</v>
      </c>
      <c r="E5" s="309">
        <v>622.25</v>
      </c>
      <c r="F5" s="306">
        <v>622.25</v>
      </c>
      <c r="G5" t="s">
        <v>1277</v>
      </c>
      <c r="H5" s="78">
        <v>1590</v>
      </c>
    </row>
    <row r="6" spans="1:8" x14ac:dyDescent="0.3">
      <c r="A6" s="31" t="s">
        <v>1279</v>
      </c>
      <c r="B6" s="330" t="s">
        <v>1240</v>
      </c>
      <c r="C6" s="308">
        <v>5.2</v>
      </c>
      <c r="D6">
        <v>70072900</v>
      </c>
      <c r="E6" s="309">
        <v>470</v>
      </c>
      <c r="F6" s="306">
        <v>2444</v>
      </c>
      <c r="G6" t="s">
        <v>1277</v>
      </c>
      <c r="H6" s="78">
        <v>1590</v>
      </c>
    </row>
    <row r="7" spans="1:8" x14ac:dyDescent="0.3">
      <c r="A7" s="31" t="s">
        <v>1280</v>
      </c>
      <c r="B7" s="330" t="s">
        <v>1220</v>
      </c>
      <c r="C7" s="308">
        <v>1</v>
      </c>
      <c r="D7">
        <v>72163100</v>
      </c>
      <c r="E7" s="309">
        <v>1150</v>
      </c>
      <c r="F7" s="306">
        <v>1150</v>
      </c>
      <c r="G7" t="s">
        <v>1277</v>
      </c>
      <c r="H7" s="78">
        <v>1590</v>
      </c>
    </row>
    <row r="8" spans="1:8" x14ac:dyDescent="0.3">
      <c r="A8" s="31" t="s">
        <v>1275</v>
      </c>
      <c r="B8" s="330" t="s">
        <v>1220</v>
      </c>
      <c r="C8" s="308">
        <v>1</v>
      </c>
      <c r="D8">
        <v>85068090</v>
      </c>
      <c r="E8" s="309">
        <v>682.5</v>
      </c>
      <c r="F8" s="306">
        <v>682.5</v>
      </c>
      <c r="G8" t="s">
        <v>1265</v>
      </c>
      <c r="H8" s="78">
        <v>1594</v>
      </c>
    </row>
    <row r="9" spans="1:8" x14ac:dyDescent="0.3">
      <c r="A9" s="31" t="s">
        <v>1276</v>
      </c>
      <c r="B9" s="330" t="s">
        <v>1220</v>
      </c>
      <c r="C9" s="308">
        <v>2</v>
      </c>
      <c r="D9">
        <v>83024900</v>
      </c>
      <c r="E9" s="309">
        <v>190.4</v>
      </c>
      <c r="F9" s="306">
        <v>380.8</v>
      </c>
      <c r="G9" t="s">
        <v>1265</v>
      </c>
      <c r="H9" s="78">
        <v>1594</v>
      </c>
    </row>
    <row r="10" spans="1:8" x14ac:dyDescent="0.3">
      <c r="A10" s="31" t="s">
        <v>1226</v>
      </c>
      <c r="B10" s="330" t="s">
        <v>1220</v>
      </c>
      <c r="C10" s="308">
        <v>1</v>
      </c>
      <c r="D10">
        <v>85423190</v>
      </c>
      <c r="E10" s="309">
        <v>1016</v>
      </c>
      <c r="F10" s="306">
        <v>1016</v>
      </c>
      <c r="G10" t="s">
        <v>1265</v>
      </c>
      <c r="H10" s="78">
        <v>1594</v>
      </c>
    </row>
    <row r="11" spans="1:8" x14ac:dyDescent="0.3">
      <c r="A11" s="31" t="s">
        <v>1256</v>
      </c>
      <c r="B11" s="330" t="s">
        <v>1220</v>
      </c>
      <c r="C11" s="308">
        <v>2</v>
      </c>
      <c r="D11">
        <v>83024900</v>
      </c>
      <c r="E11" s="309">
        <v>190.4</v>
      </c>
      <c r="F11" s="306">
        <v>380.8</v>
      </c>
      <c r="G11" t="s">
        <v>1273</v>
      </c>
      <c r="H11" s="78">
        <v>1636</v>
      </c>
    </row>
    <row r="12" spans="1:8" x14ac:dyDescent="0.3">
      <c r="A12" s="31" t="s">
        <v>1274</v>
      </c>
      <c r="B12" s="330" t="s">
        <v>1220</v>
      </c>
      <c r="C12" s="308">
        <v>2</v>
      </c>
      <c r="D12">
        <v>39204900</v>
      </c>
      <c r="E12" s="309">
        <v>190</v>
      </c>
      <c r="F12" s="306">
        <v>380</v>
      </c>
      <c r="G12" t="s">
        <v>1273</v>
      </c>
      <c r="H12" s="78">
        <v>1636</v>
      </c>
    </row>
    <row r="13" spans="1:8" x14ac:dyDescent="0.3">
      <c r="A13" s="31" t="s">
        <v>1257</v>
      </c>
      <c r="B13" s="330" t="s">
        <v>1220</v>
      </c>
      <c r="C13" s="308">
        <v>2</v>
      </c>
      <c r="D13">
        <v>85068090</v>
      </c>
      <c r="E13" s="309">
        <v>635</v>
      </c>
      <c r="F13" s="306">
        <v>1270</v>
      </c>
      <c r="G13" t="s">
        <v>1265</v>
      </c>
      <c r="H13" s="78">
        <v>1655</v>
      </c>
    </row>
    <row r="14" spans="1:8" x14ac:dyDescent="0.3">
      <c r="A14" s="31" t="s">
        <v>1259</v>
      </c>
      <c r="B14" s="330" t="s">
        <v>1220</v>
      </c>
      <c r="C14" s="308">
        <v>1</v>
      </c>
      <c r="D14">
        <v>40029990</v>
      </c>
      <c r="E14" s="309">
        <v>630</v>
      </c>
      <c r="F14" s="306">
        <v>630</v>
      </c>
      <c r="G14" t="s">
        <v>1265</v>
      </c>
      <c r="H14" s="78">
        <v>1655</v>
      </c>
    </row>
    <row r="15" spans="1:8" x14ac:dyDescent="0.3">
      <c r="A15" s="31" t="s">
        <v>1256</v>
      </c>
      <c r="B15" s="330" t="s">
        <v>1220</v>
      </c>
      <c r="C15" s="308">
        <v>2</v>
      </c>
      <c r="D15">
        <v>83024900</v>
      </c>
      <c r="E15" s="309">
        <v>190.4</v>
      </c>
      <c r="F15" s="306">
        <v>380.8</v>
      </c>
      <c r="G15" t="s">
        <v>1265</v>
      </c>
      <c r="H15" s="78">
        <v>1655</v>
      </c>
    </row>
    <row r="16" spans="1:8" x14ac:dyDescent="0.3">
      <c r="A16" s="31" t="s">
        <v>1258</v>
      </c>
      <c r="B16" s="330" t="s">
        <v>1220</v>
      </c>
      <c r="C16" s="308">
        <v>1</v>
      </c>
      <c r="D16">
        <v>84799090</v>
      </c>
      <c r="E16" s="309">
        <v>447.45</v>
      </c>
      <c r="F16" s="306">
        <v>447.45</v>
      </c>
      <c r="G16" t="s">
        <v>1265</v>
      </c>
      <c r="H16" s="78">
        <v>1655</v>
      </c>
    </row>
    <row r="17" spans="1:8" x14ac:dyDescent="0.3">
      <c r="A17" s="31" t="s">
        <v>1224</v>
      </c>
      <c r="B17" s="330" t="s">
        <v>1220</v>
      </c>
      <c r="C17" s="308">
        <v>1</v>
      </c>
      <c r="D17">
        <v>85261000</v>
      </c>
      <c r="E17" s="309">
        <v>1973</v>
      </c>
      <c r="F17" s="306">
        <v>1973</v>
      </c>
      <c r="G17" t="s">
        <v>1265</v>
      </c>
      <c r="H17" s="78">
        <v>1655</v>
      </c>
    </row>
    <row r="18" spans="1:8" x14ac:dyDescent="0.3">
      <c r="A18" s="31" t="s">
        <v>1260</v>
      </c>
      <c r="B18" s="330" t="s">
        <v>1220</v>
      </c>
      <c r="C18" s="308">
        <v>2</v>
      </c>
      <c r="D18">
        <v>84799090</v>
      </c>
      <c r="E18" s="309">
        <v>445.65</v>
      </c>
      <c r="F18" s="306">
        <v>891.3</v>
      </c>
      <c r="G18" t="s">
        <v>1265</v>
      </c>
      <c r="H18" s="78">
        <v>1655</v>
      </c>
    </row>
    <row r="19" spans="1:8" x14ac:dyDescent="0.3">
      <c r="A19" s="31" t="s">
        <v>1225</v>
      </c>
      <c r="B19" s="330" t="s">
        <v>1220</v>
      </c>
      <c r="C19" s="308">
        <v>1</v>
      </c>
      <c r="D19">
        <v>84798999</v>
      </c>
      <c r="E19" s="309">
        <v>2430</v>
      </c>
      <c r="F19" s="306">
        <v>2430</v>
      </c>
      <c r="G19" t="s">
        <v>1265</v>
      </c>
      <c r="H19" s="78">
        <v>1655</v>
      </c>
    </row>
    <row r="20" spans="1:8" x14ac:dyDescent="0.3">
      <c r="A20" s="31" t="s">
        <v>1233</v>
      </c>
      <c r="B20" s="330" t="s">
        <v>1220</v>
      </c>
      <c r="C20" s="308">
        <v>1</v>
      </c>
      <c r="D20">
        <v>83024900</v>
      </c>
      <c r="E20" s="309">
        <v>650.79999999999995</v>
      </c>
      <c r="F20" s="306">
        <v>650.79999999999995</v>
      </c>
      <c r="G20" t="s">
        <v>1253</v>
      </c>
      <c r="H20" s="78">
        <v>1674</v>
      </c>
    </row>
    <row r="21" spans="1:8" x14ac:dyDescent="0.3">
      <c r="A21" s="31" t="s">
        <v>1251</v>
      </c>
      <c r="B21" s="330" t="s">
        <v>1220</v>
      </c>
      <c r="C21" s="308">
        <v>2</v>
      </c>
      <c r="D21">
        <v>76042920</v>
      </c>
      <c r="E21" s="309">
        <v>89.5</v>
      </c>
      <c r="F21" s="306">
        <v>179</v>
      </c>
      <c r="G21" t="s">
        <v>1253</v>
      </c>
      <c r="H21" s="78">
        <v>1674</v>
      </c>
    </row>
    <row r="22" spans="1:8" x14ac:dyDescent="0.3">
      <c r="A22" s="31" t="s">
        <v>1256</v>
      </c>
      <c r="B22" s="330" t="s">
        <v>1220</v>
      </c>
      <c r="C22" s="308">
        <v>2</v>
      </c>
      <c r="D22">
        <v>83024900</v>
      </c>
      <c r="E22" s="309">
        <v>190.4</v>
      </c>
      <c r="F22" s="306">
        <v>380.8</v>
      </c>
      <c r="G22" t="s">
        <v>1269</v>
      </c>
      <c r="H22" s="78">
        <v>1691</v>
      </c>
    </row>
    <row r="23" spans="1:8" x14ac:dyDescent="0.3">
      <c r="A23" s="31" t="s">
        <v>1255</v>
      </c>
      <c r="B23" s="330" t="s">
        <v>1220</v>
      </c>
      <c r="C23" s="308">
        <v>2</v>
      </c>
      <c r="D23">
        <v>83024900</v>
      </c>
      <c r="E23" s="309">
        <v>190</v>
      </c>
      <c r="F23" s="306">
        <v>380</v>
      </c>
      <c r="G23" t="s">
        <v>1269</v>
      </c>
      <c r="H23" s="78">
        <v>1691</v>
      </c>
    </row>
    <row r="24" spans="1:8" x14ac:dyDescent="0.3">
      <c r="A24" s="31" t="s">
        <v>1227</v>
      </c>
      <c r="B24" s="330" t="s">
        <v>1220</v>
      </c>
      <c r="C24" s="308">
        <v>2</v>
      </c>
      <c r="D24">
        <v>76101000</v>
      </c>
      <c r="E24" s="309">
        <v>481.5</v>
      </c>
      <c r="F24" s="306">
        <v>963</v>
      </c>
      <c r="G24" t="s">
        <v>1314</v>
      </c>
      <c r="H24" s="78">
        <v>1695</v>
      </c>
    </row>
    <row r="25" spans="1:8" x14ac:dyDescent="0.3">
      <c r="A25" s="31" t="s">
        <v>1185</v>
      </c>
      <c r="B25" s="330" t="s">
        <v>1220</v>
      </c>
      <c r="C25" s="308">
        <v>1</v>
      </c>
      <c r="D25">
        <v>84798999</v>
      </c>
      <c r="E25" s="309">
        <v>9800</v>
      </c>
      <c r="F25" s="306">
        <v>9800</v>
      </c>
      <c r="G25" t="s">
        <v>1314</v>
      </c>
      <c r="H25" s="78">
        <v>1695</v>
      </c>
    </row>
    <row r="26" spans="1:8" x14ac:dyDescent="0.3">
      <c r="A26" s="31" t="s">
        <v>1274</v>
      </c>
      <c r="B26" s="330" t="s">
        <v>1220</v>
      </c>
      <c r="C26" s="308">
        <v>2</v>
      </c>
      <c r="D26">
        <v>39204900</v>
      </c>
      <c r="E26" s="309">
        <v>190</v>
      </c>
      <c r="F26" s="306">
        <v>380</v>
      </c>
      <c r="G26" t="s">
        <v>1314</v>
      </c>
      <c r="H26" s="78">
        <v>1695</v>
      </c>
    </row>
    <row r="27" spans="1:8" x14ac:dyDescent="0.3">
      <c r="A27" s="31" t="s">
        <v>1224</v>
      </c>
      <c r="B27" s="330" t="s">
        <v>1220</v>
      </c>
      <c r="C27" s="308">
        <v>1</v>
      </c>
      <c r="D27">
        <v>85261000</v>
      </c>
      <c r="E27" s="309">
        <v>850</v>
      </c>
      <c r="F27" s="306">
        <v>850</v>
      </c>
      <c r="G27" t="s">
        <v>1314</v>
      </c>
      <c r="H27" s="78">
        <v>1695</v>
      </c>
    </row>
    <row r="28" spans="1:8" x14ac:dyDescent="0.3">
      <c r="A28" s="31" t="s">
        <v>1226</v>
      </c>
      <c r="B28" s="330" t="s">
        <v>1220</v>
      </c>
      <c r="C28" s="308">
        <v>1</v>
      </c>
      <c r="D28">
        <v>85423190</v>
      </c>
      <c r="E28" s="309">
        <v>625</v>
      </c>
      <c r="F28" s="306">
        <v>625</v>
      </c>
      <c r="G28" t="s">
        <v>1314</v>
      </c>
      <c r="H28" s="78">
        <v>1695</v>
      </c>
    </row>
    <row r="29" spans="1:8" x14ac:dyDescent="0.3">
      <c r="A29" s="31" t="s">
        <v>1225</v>
      </c>
      <c r="B29" s="330" t="s">
        <v>1220</v>
      </c>
      <c r="C29" s="308">
        <v>1</v>
      </c>
      <c r="D29">
        <v>84798999</v>
      </c>
      <c r="E29" s="309">
        <v>1600</v>
      </c>
      <c r="F29" s="306">
        <v>1600</v>
      </c>
      <c r="G29" t="s">
        <v>1314</v>
      </c>
      <c r="H29" s="78">
        <v>1695</v>
      </c>
    </row>
    <row r="30" spans="1:8" x14ac:dyDescent="0.3">
      <c r="A30" s="31" t="s">
        <v>1186</v>
      </c>
      <c r="B30" s="330" t="s">
        <v>1220</v>
      </c>
      <c r="C30" s="308">
        <v>1</v>
      </c>
      <c r="D30">
        <v>83024900</v>
      </c>
      <c r="E30" s="309">
        <v>450</v>
      </c>
      <c r="F30" s="306">
        <v>450</v>
      </c>
      <c r="G30" t="s">
        <v>1314</v>
      </c>
      <c r="H30" s="78">
        <v>1695</v>
      </c>
    </row>
    <row r="31" spans="1:8" x14ac:dyDescent="0.3">
      <c r="A31" s="31" t="s">
        <v>1296</v>
      </c>
      <c r="B31" s="330" t="s">
        <v>1240</v>
      </c>
      <c r="C31" s="308">
        <v>3.48</v>
      </c>
      <c r="D31">
        <v>70072900</v>
      </c>
      <c r="E31" s="309">
        <v>470</v>
      </c>
      <c r="F31" s="306">
        <v>1635.6</v>
      </c>
      <c r="G31" t="s">
        <v>1314</v>
      </c>
      <c r="H31" s="78">
        <v>1695</v>
      </c>
    </row>
    <row r="32" spans="1:8" x14ac:dyDescent="0.3">
      <c r="A32" s="31" t="s">
        <v>1313</v>
      </c>
      <c r="B32" s="330" t="s">
        <v>1220</v>
      </c>
      <c r="C32" s="308">
        <v>1</v>
      </c>
      <c r="D32">
        <v>39219019</v>
      </c>
      <c r="E32" s="309">
        <v>28312.2</v>
      </c>
      <c r="F32" s="306">
        <v>28312.2</v>
      </c>
      <c r="G32" t="s">
        <v>1312</v>
      </c>
      <c r="H32" s="78">
        <v>1696</v>
      </c>
    </row>
    <row r="33" spans="1:8" x14ac:dyDescent="0.3">
      <c r="A33" s="31" t="s">
        <v>1308</v>
      </c>
      <c r="B33" s="330" t="s">
        <v>1220</v>
      </c>
      <c r="C33" s="308">
        <v>2</v>
      </c>
      <c r="D33">
        <v>76042920</v>
      </c>
      <c r="E33" s="309">
        <v>650</v>
      </c>
      <c r="F33" s="306">
        <v>1300</v>
      </c>
      <c r="G33" t="s">
        <v>1307</v>
      </c>
      <c r="H33" s="78">
        <v>1698</v>
      </c>
    </row>
    <row r="34" spans="1:8" x14ac:dyDescent="0.3">
      <c r="A34" s="31" t="s">
        <v>1228</v>
      </c>
      <c r="B34" s="330" t="s">
        <v>1220</v>
      </c>
      <c r="C34" s="308">
        <v>1</v>
      </c>
      <c r="D34">
        <v>83024900</v>
      </c>
      <c r="E34" s="309">
        <v>723</v>
      </c>
      <c r="F34" s="306">
        <v>723</v>
      </c>
      <c r="G34" t="s">
        <v>1307</v>
      </c>
      <c r="H34" s="78">
        <v>1698</v>
      </c>
    </row>
    <row r="35" spans="1:8" x14ac:dyDescent="0.3">
      <c r="A35" s="31" t="s">
        <v>1249</v>
      </c>
      <c r="B35" s="330" t="s">
        <v>1220</v>
      </c>
      <c r="C35" s="308">
        <v>1</v>
      </c>
      <c r="D35">
        <v>84798999</v>
      </c>
      <c r="E35" s="309">
        <v>14900</v>
      </c>
      <c r="F35" s="306">
        <v>14900</v>
      </c>
      <c r="G35" t="s">
        <v>1307</v>
      </c>
      <c r="H35" s="78">
        <v>1698</v>
      </c>
    </row>
    <row r="36" spans="1:8" x14ac:dyDescent="0.3">
      <c r="A36" s="31" t="s">
        <v>1224</v>
      </c>
      <c r="B36" s="330" t="s">
        <v>1220</v>
      </c>
      <c r="C36" s="308">
        <v>1</v>
      </c>
      <c r="D36">
        <v>85261000</v>
      </c>
      <c r="E36" s="309">
        <v>850</v>
      </c>
      <c r="F36" s="306">
        <v>850</v>
      </c>
      <c r="G36" t="s">
        <v>1307</v>
      </c>
      <c r="H36" s="78">
        <v>1698</v>
      </c>
    </row>
    <row r="37" spans="1:8" x14ac:dyDescent="0.3">
      <c r="A37" s="31" t="s">
        <v>1226</v>
      </c>
      <c r="B37" s="330" t="s">
        <v>1220</v>
      </c>
      <c r="C37" s="308">
        <v>1</v>
      </c>
      <c r="D37">
        <v>85423190</v>
      </c>
      <c r="E37" s="309">
        <v>625</v>
      </c>
      <c r="F37" s="306">
        <v>625</v>
      </c>
      <c r="G37" t="s">
        <v>1307</v>
      </c>
      <c r="H37" s="78">
        <v>1698</v>
      </c>
    </row>
    <row r="38" spans="1:8" x14ac:dyDescent="0.3">
      <c r="A38" s="31" t="s">
        <v>1225</v>
      </c>
      <c r="B38" s="330" t="s">
        <v>1220</v>
      </c>
      <c r="C38" s="308">
        <v>1</v>
      </c>
      <c r="D38">
        <v>84798999</v>
      </c>
      <c r="E38" s="309">
        <v>1600</v>
      </c>
      <c r="F38" s="306">
        <v>1600</v>
      </c>
      <c r="G38" t="s">
        <v>1307</v>
      </c>
      <c r="H38" s="78">
        <v>1698</v>
      </c>
    </row>
    <row r="39" spans="1:8" x14ac:dyDescent="0.3">
      <c r="A39" s="31" t="s">
        <v>1309</v>
      </c>
      <c r="B39" s="330" t="s">
        <v>1220</v>
      </c>
      <c r="C39" s="308">
        <v>2</v>
      </c>
      <c r="D39">
        <v>0</v>
      </c>
      <c r="E39" s="309">
        <v>1590</v>
      </c>
      <c r="F39" s="306">
        <v>3180</v>
      </c>
      <c r="G39" t="s">
        <v>1307</v>
      </c>
      <c r="H39" s="78">
        <v>1698</v>
      </c>
    </row>
    <row r="40" spans="1:8" x14ac:dyDescent="0.3">
      <c r="A40" s="31" t="s">
        <v>1223</v>
      </c>
      <c r="B40" s="330" t="s">
        <v>1220</v>
      </c>
      <c r="C40" s="308">
        <v>1</v>
      </c>
      <c r="D40">
        <v>83024900</v>
      </c>
      <c r="E40" s="309">
        <v>642</v>
      </c>
      <c r="F40" s="306">
        <v>642</v>
      </c>
      <c r="G40" t="s">
        <v>1307</v>
      </c>
      <c r="H40" s="78">
        <v>1698</v>
      </c>
    </row>
    <row r="41" spans="1:8" x14ac:dyDescent="0.3">
      <c r="A41" s="31" t="s">
        <v>1292</v>
      </c>
      <c r="B41" s="330" t="s">
        <v>1220</v>
      </c>
      <c r="C41" s="308">
        <v>4</v>
      </c>
      <c r="D41">
        <v>76101000</v>
      </c>
      <c r="E41" s="309">
        <v>663.4</v>
      </c>
      <c r="F41" s="306">
        <v>2653.6</v>
      </c>
      <c r="G41" t="s">
        <v>1295</v>
      </c>
      <c r="H41" s="78">
        <v>1699</v>
      </c>
    </row>
    <row r="42" spans="1:8" x14ac:dyDescent="0.3">
      <c r="A42" s="31" t="s">
        <v>1227</v>
      </c>
      <c r="B42" s="330" t="s">
        <v>1220</v>
      </c>
      <c r="C42" s="308">
        <v>4</v>
      </c>
      <c r="D42">
        <v>76101000</v>
      </c>
      <c r="E42" s="309">
        <v>481.5</v>
      </c>
      <c r="F42" s="306">
        <v>1926</v>
      </c>
      <c r="G42" t="s">
        <v>1295</v>
      </c>
      <c r="H42" s="78">
        <v>1699</v>
      </c>
    </row>
    <row r="43" spans="1:8" x14ac:dyDescent="0.3">
      <c r="A43" s="31" t="s">
        <v>1185</v>
      </c>
      <c r="B43" s="330" t="s">
        <v>1220</v>
      </c>
      <c r="C43" s="308">
        <v>2</v>
      </c>
      <c r="D43">
        <v>84798999</v>
      </c>
      <c r="E43" s="309">
        <v>9800</v>
      </c>
      <c r="F43" s="306">
        <v>19600</v>
      </c>
      <c r="G43" t="s">
        <v>1295</v>
      </c>
      <c r="H43" s="78">
        <v>1699</v>
      </c>
    </row>
    <row r="44" spans="1:8" x14ac:dyDescent="0.3">
      <c r="A44" s="31" t="s">
        <v>1274</v>
      </c>
      <c r="B44" s="330" t="s">
        <v>1220</v>
      </c>
      <c r="C44" s="308">
        <v>4</v>
      </c>
      <c r="D44">
        <v>39204900</v>
      </c>
      <c r="E44" s="309">
        <v>190</v>
      </c>
      <c r="F44" s="306">
        <v>760</v>
      </c>
      <c r="G44" t="s">
        <v>1295</v>
      </c>
      <c r="H44" s="78">
        <v>1699</v>
      </c>
    </row>
    <row r="45" spans="1:8" x14ac:dyDescent="0.3">
      <c r="A45" s="31" t="s">
        <v>1224</v>
      </c>
      <c r="B45" s="330" t="s">
        <v>1220</v>
      </c>
      <c r="C45" s="308">
        <v>2</v>
      </c>
      <c r="D45">
        <v>85261000</v>
      </c>
      <c r="E45" s="309">
        <v>850</v>
      </c>
      <c r="F45" s="306">
        <v>1700</v>
      </c>
      <c r="G45" t="s">
        <v>1295</v>
      </c>
      <c r="H45" s="78">
        <v>1699</v>
      </c>
    </row>
    <row r="46" spans="1:8" x14ac:dyDescent="0.3">
      <c r="A46" s="31" t="s">
        <v>1226</v>
      </c>
      <c r="B46" s="330" t="s">
        <v>1220</v>
      </c>
      <c r="C46" s="308">
        <v>2</v>
      </c>
      <c r="D46">
        <v>85423190</v>
      </c>
      <c r="E46" s="309">
        <v>625</v>
      </c>
      <c r="F46" s="306">
        <v>1250</v>
      </c>
      <c r="G46" t="s">
        <v>1295</v>
      </c>
      <c r="H46" s="78">
        <v>1699</v>
      </c>
    </row>
    <row r="47" spans="1:8" x14ac:dyDescent="0.3">
      <c r="A47" s="31" t="s">
        <v>1225</v>
      </c>
      <c r="B47" s="330" t="s">
        <v>1220</v>
      </c>
      <c r="C47" s="308">
        <v>2</v>
      </c>
      <c r="D47">
        <v>84798999</v>
      </c>
      <c r="E47" s="309">
        <v>1600</v>
      </c>
      <c r="F47" s="306">
        <v>3200</v>
      </c>
      <c r="G47" t="s">
        <v>1295</v>
      </c>
      <c r="H47" s="78">
        <v>1699</v>
      </c>
    </row>
    <row r="48" spans="1:8" x14ac:dyDescent="0.3">
      <c r="A48" s="31" t="s">
        <v>1186</v>
      </c>
      <c r="B48" s="330" t="s">
        <v>1220</v>
      </c>
      <c r="C48" s="308">
        <v>2</v>
      </c>
      <c r="D48">
        <v>83024900</v>
      </c>
      <c r="E48" s="309">
        <v>450</v>
      </c>
      <c r="F48" s="306">
        <v>900</v>
      </c>
      <c r="G48" t="s">
        <v>1295</v>
      </c>
      <c r="H48" s="78">
        <v>1699</v>
      </c>
    </row>
    <row r="49" spans="1:8" x14ac:dyDescent="0.3">
      <c r="A49" s="31" t="s">
        <v>1296</v>
      </c>
      <c r="B49" s="330" t="s">
        <v>1240</v>
      </c>
      <c r="C49" s="308">
        <v>13.5</v>
      </c>
      <c r="D49">
        <v>70072900</v>
      </c>
      <c r="E49" s="309">
        <v>470</v>
      </c>
      <c r="F49" s="306">
        <v>6345</v>
      </c>
      <c r="G49" t="s">
        <v>1295</v>
      </c>
      <c r="H49" s="78">
        <v>1699</v>
      </c>
    </row>
    <row r="50" spans="1:8" x14ac:dyDescent="0.3">
      <c r="A50" s="31" t="s">
        <v>1243</v>
      </c>
      <c r="B50" s="330" t="s">
        <v>1220</v>
      </c>
      <c r="C50" s="308">
        <v>2</v>
      </c>
      <c r="D50">
        <v>76042100</v>
      </c>
      <c r="E50" s="309">
        <v>2200</v>
      </c>
      <c r="F50" s="306">
        <v>4400</v>
      </c>
      <c r="G50" t="s">
        <v>1293</v>
      </c>
      <c r="H50" s="78">
        <v>1701</v>
      </c>
    </row>
    <row r="51" spans="1:8" x14ac:dyDescent="0.3">
      <c r="A51" s="31" t="s">
        <v>1242</v>
      </c>
      <c r="B51" s="330" t="s">
        <v>1220</v>
      </c>
      <c r="C51" s="308">
        <v>2</v>
      </c>
      <c r="D51">
        <v>76042100</v>
      </c>
      <c r="E51" s="309">
        <v>2200</v>
      </c>
      <c r="F51" s="306">
        <v>4400</v>
      </c>
      <c r="G51" t="s">
        <v>1293</v>
      </c>
      <c r="H51" s="78">
        <v>1701</v>
      </c>
    </row>
    <row r="52" spans="1:8" x14ac:dyDescent="0.3">
      <c r="A52" s="31" t="s">
        <v>1228</v>
      </c>
      <c r="B52" s="330" t="s">
        <v>1220</v>
      </c>
      <c r="C52" s="308">
        <v>1</v>
      </c>
      <c r="D52">
        <v>83024900</v>
      </c>
      <c r="E52" s="309">
        <v>723</v>
      </c>
      <c r="F52" s="306">
        <v>723</v>
      </c>
      <c r="G52" t="s">
        <v>1293</v>
      </c>
      <c r="H52" s="78">
        <v>1701</v>
      </c>
    </row>
    <row r="53" spans="1:8" x14ac:dyDescent="0.3">
      <c r="A53" s="31" t="s">
        <v>1249</v>
      </c>
      <c r="B53" s="330" t="s">
        <v>1220</v>
      </c>
      <c r="C53" s="308">
        <v>1</v>
      </c>
      <c r="D53">
        <v>84798999</v>
      </c>
      <c r="E53" s="309">
        <v>14900</v>
      </c>
      <c r="F53" s="306">
        <v>14900</v>
      </c>
      <c r="G53" t="s">
        <v>1293</v>
      </c>
      <c r="H53" s="78">
        <v>1701</v>
      </c>
    </row>
    <row r="54" spans="1:8" x14ac:dyDescent="0.3">
      <c r="A54" s="31" t="s">
        <v>1224</v>
      </c>
      <c r="B54" s="330" t="s">
        <v>1220</v>
      </c>
      <c r="C54" s="308">
        <v>1</v>
      </c>
      <c r="D54">
        <v>85261000</v>
      </c>
      <c r="E54" s="309">
        <v>850</v>
      </c>
      <c r="F54" s="306">
        <v>850</v>
      </c>
      <c r="G54" t="s">
        <v>1293</v>
      </c>
      <c r="H54" s="78">
        <v>1701</v>
      </c>
    </row>
    <row r="55" spans="1:8" x14ac:dyDescent="0.3">
      <c r="A55" s="31" t="s">
        <v>1226</v>
      </c>
      <c r="B55" s="330" t="s">
        <v>1220</v>
      </c>
      <c r="C55" s="308">
        <v>1</v>
      </c>
      <c r="D55">
        <v>85423190</v>
      </c>
      <c r="E55" s="309">
        <v>625</v>
      </c>
      <c r="F55" s="306">
        <v>625</v>
      </c>
      <c r="G55" t="s">
        <v>1293</v>
      </c>
      <c r="H55" s="78">
        <v>1701</v>
      </c>
    </row>
    <row r="56" spans="1:8" x14ac:dyDescent="0.3">
      <c r="A56" s="31" t="s">
        <v>1225</v>
      </c>
      <c r="B56" s="330" t="s">
        <v>1220</v>
      </c>
      <c r="C56" s="308">
        <v>1</v>
      </c>
      <c r="D56">
        <v>84798999</v>
      </c>
      <c r="E56" s="309">
        <v>1600</v>
      </c>
      <c r="F56" s="306">
        <v>1600</v>
      </c>
      <c r="G56" t="s">
        <v>1293</v>
      </c>
      <c r="H56" s="78">
        <v>1701</v>
      </c>
    </row>
    <row r="57" spans="1:8" x14ac:dyDescent="0.3">
      <c r="A57" s="31" t="s">
        <v>1223</v>
      </c>
      <c r="B57" s="330" t="s">
        <v>1220</v>
      </c>
      <c r="C57" s="308">
        <v>1</v>
      </c>
      <c r="D57">
        <v>83024900</v>
      </c>
      <c r="E57" s="309">
        <v>642</v>
      </c>
      <c r="F57" s="306">
        <v>642</v>
      </c>
      <c r="G57" t="s">
        <v>1293</v>
      </c>
      <c r="H57" s="78">
        <v>1701</v>
      </c>
    </row>
    <row r="58" spans="1:8" x14ac:dyDescent="0.3">
      <c r="A58" s="31" t="s">
        <v>1252</v>
      </c>
      <c r="B58" s="330" t="s">
        <v>1220</v>
      </c>
      <c r="C58" s="308">
        <v>2</v>
      </c>
      <c r="D58">
        <v>84799090</v>
      </c>
      <c r="E58" s="309">
        <v>825</v>
      </c>
      <c r="F58" s="306">
        <v>1650</v>
      </c>
      <c r="G58" t="s">
        <v>1268</v>
      </c>
      <c r="H58" s="78">
        <v>1702</v>
      </c>
    </row>
    <row r="59" spans="1:8" x14ac:dyDescent="0.3">
      <c r="A59" s="31" t="s">
        <v>1233</v>
      </c>
      <c r="B59" s="330" t="s">
        <v>1220</v>
      </c>
      <c r="C59" s="308">
        <v>1</v>
      </c>
      <c r="D59">
        <v>83024900</v>
      </c>
      <c r="E59" s="309">
        <v>650.79999999999995</v>
      </c>
      <c r="F59" s="306">
        <v>650.79999999999995</v>
      </c>
      <c r="G59" t="s">
        <v>1250</v>
      </c>
      <c r="H59" s="78">
        <v>1703</v>
      </c>
    </row>
    <row r="60" spans="1:8" x14ac:dyDescent="0.3">
      <c r="A60" s="31" t="s">
        <v>1251</v>
      </c>
      <c r="B60" s="330" t="s">
        <v>1220</v>
      </c>
      <c r="C60" s="308">
        <v>2</v>
      </c>
      <c r="D60">
        <v>76042920</v>
      </c>
      <c r="E60" s="309">
        <v>122</v>
      </c>
      <c r="F60" s="306">
        <v>244</v>
      </c>
      <c r="G60" t="s">
        <v>1250</v>
      </c>
      <c r="H60" s="78">
        <v>1703</v>
      </c>
    </row>
    <row r="61" spans="1:8" x14ac:dyDescent="0.3">
      <c r="A61" s="31" t="s">
        <v>1249</v>
      </c>
      <c r="B61" s="330" t="s">
        <v>1220</v>
      </c>
      <c r="C61" s="308">
        <v>1</v>
      </c>
      <c r="D61">
        <v>84798999</v>
      </c>
      <c r="E61" s="309">
        <v>22450</v>
      </c>
      <c r="F61" s="306">
        <v>22450</v>
      </c>
      <c r="G61" t="s">
        <v>432</v>
      </c>
      <c r="H61" s="78">
        <v>1704</v>
      </c>
    </row>
    <row r="62" spans="1:8" x14ac:dyDescent="0.3">
      <c r="A62" s="31" t="s">
        <v>1226</v>
      </c>
      <c r="B62" s="330" t="s">
        <v>1220</v>
      </c>
      <c r="C62" s="308">
        <v>1</v>
      </c>
      <c r="D62">
        <v>85423190</v>
      </c>
      <c r="E62" s="309">
        <v>937.5</v>
      </c>
      <c r="F62" s="306">
        <v>937.5</v>
      </c>
      <c r="G62" t="s">
        <v>432</v>
      </c>
      <c r="H62" s="78">
        <v>1704</v>
      </c>
    </row>
    <row r="63" spans="1:8" x14ac:dyDescent="0.3">
      <c r="A63" s="31" t="s">
        <v>1225</v>
      </c>
      <c r="B63" s="330" t="s">
        <v>1220</v>
      </c>
      <c r="C63" s="308">
        <v>1</v>
      </c>
      <c r="D63">
        <v>84798999</v>
      </c>
      <c r="E63" s="309">
        <v>2430</v>
      </c>
      <c r="F63" s="306">
        <v>2430</v>
      </c>
      <c r="G63" t="s">
        <v>432</v>
      </c>
      <c r="H63" s="78">
        <v>1704</v>
      </c>
    </row>
    <row r="64" spans="1:8" x14ac:dyDescent="0.3">
      <c r="A64" s="31" t="s">
        <v>1223</v>
      </c>
      <c r="B64" s="330" t="s">
        <v>1220</v>
      </c>
      <c r="C64" s="308">
        <v>1</v>
      </c>
      <c r="D64">
        <v>83024900</v>
      </c>
      <c r="E64" s="309">
        <v>945</v>
      </c>
      <c r="F64" s="306">
        <v>945</v>
      </c>
      <c r="G64" t="s">
        <v>432</v>
      </c>
      <c r="H64" s="78">
        <v>1704</v>
      </c>
    </row>
    <row r="65" spans="1:8" x14ac:dyDescent="0.3">
      <c r="A65" s="31" t="s">
        <v>1247</v>
      </c>
      <c r="B65" s="330" t="s">
        <v>1220</v>
      </c>
      <c r="C65" s="308">
        <v>1</v>
      </c>
      <c r="D65">
        <v>85423190</v>
      </c>
      <c r="E65" s="309">
        <v>5372.64</v>
      </c>
      <c r="F65" s="306">
        <v>5372.64</v>
      </c>
      <c r="G65" t="s">
        <v>1248</v>
      </c>
      <c r="H65" s="78">
        <v>1705</v>
      </c>
    </row>
    <row r="66" spans="1:8" x14ac:dyDescent="0.3">
      <c r="A66" s="31" t="s">
        <v>1243</v>
      </c>
      <c r="B66" s="330" t="s">
        <v>1220</v>
      </c>
      <c r="C66" s="308">
        <v>1</v>
      </c>
      <c r="D66">
        <v>76042100</v>
      </c>
      <c r="E66" s="309">
        <v>1980</v>
      </c>
      <c r="F66" s="306">
        <v>1980</v>
      </c>
      <c r="G66" t="s">
        <v>1264</v>
      </c>
      <c r="H66" s="78">
        <v>1706</v>
      </c>
    </row>
    <row r="67" spans="1:8" x14ac:dyDescent="0.3">
      <c r="A67" s="31" t="s">
        <v>1242</v>
      </c>
      <c r="B67" s="330" t="s">
        <v>1220</v>
      </c>
      <c r="C67" s="308">
        <v>1</v>
      </c>
      <c r="D67">
        <v>76042100</v>
      </c>
      <c r="E67" s="309">
        <v>1980</v>
      </c>
      <c r="F67" s="306">
        <v>1980</v>
      </c>
      <c r="G67" t="s">
        <v>1264</v>
      </c>
      <c r="H67" s="78">
        <v>1706</v>
      </c>
    </row>
    <row r="68" spans="1:8" x14ac:dyDescent="0.3">
      <c r="A68" s="31" t="s">
        <v>1228</v>
      </c>
      <c r="B68" s="330" t="s">
        <v>1220</v>
      </c>
      <c r="C68" s="308">
        <v>1</v>
      </c>
      <c r="D68">
        <v>83024900</v>
      </c>
      <c r="E68" s="309">
        <v>723</v>
      </c>
      <c r="F68" s="306">
        <v>723</v>
      </c>
      <c r="G68" t="s">
        <v>1264</v>
      </c>
      <c r="H68" s="78">
        <v>1706</v>
      </c>
    </row>
    <row r="69" spans="1:8" x14ac:dyDescent="0.3">
      <c r="A69" s="31" t="s">
        <v>1222</v>
      </c>
      <c r="B69" s="330" t="s">
        <v>1220</v>
      </c>
      <c r="C69" s="308">
        <v>1</v>
      </c>
      <c r="D69">
        <v>84798999</v>
      </c>
      <c r="E69" s="309">
        <v>13100</v>
      </c>
      <c r="F69" s="306">
        <v>13100</v>
      </c>
      <c r="G69" t="s">
        <v>1264</v>
      </c>
      <c r="H69" s="78">
        <v>1706</v>
      </c>
    </row>
    <row r="70" spans="1:8" x14ac:dyDescent="0.3">
      <c r="A70" s="31" t="s">
        <v>1224</v>
      </c>
      <c r="B70" s="330" t="s">
        <v>1220</v>
      </c>
      <c r="C70" s="308">
        <v>1</v>
      </c>
      <c r="D70">
        <v>85261000</v>
      </c>
      <c r="E70" s="309">
        <v>850</v>
      </c>
      <c r="F70" s="306">
        <v>850</v>
      </c>
      <c r="G70" t="s">
        <v>1264</v>
      </c>
      <c r="H70" s="78">
        <v>1706</v>
      </c>
    </row>
    <row r="71" spans="1:8" x14ac:dyDescent="0.3">
      <c r="A71" s="31" t="s">
        <v>1226</v>
      </c>
      <c r="B71" s="330" t="s">
        <v>1220</v>
      </c>
      <c r="C71" s="308">
        <v>1</v>
      </c>
      <c r="D71">
        <v>85423190</v>
      </c>
      <c r="E71" s="309">
        <v>625</v>
      </c>
      <c r="F71" s="306">
        <v>625</v>
      </c>
      <c r="G71" t="s">
        <v>1264</v>
      </c>
      <c r="H71" s="78">
        <v>1706</v>
      </c>
    </row>
    <row r="72" spans="1:8" x14ac:dyDescent="0.3">
      <c r="A72" s="31" t="s">
        <v>1225</v>
      </c>
      <c r="B72" s="330" t="s">
        <v>1220</v>
      </c>
      <c r="C72" s="308">
        <v>1</v>
      </c>
      <c r="D72">
        <v>84798999</v>
      </c>
      <c r="E72" s="309">
        <v>1600</v>
      </c>
      <c r="F72" s="306">
        <v>1600</v>
      </c>
      <c r="G72" t="s">
        <v>1264</v>
      </c>
      <c r="H72" s="78">
        <v>1706</v>
      </c>
    </row>
    <row r="73" spans="1:8" x14ac:dyDescent="0.3">
      <c r="A73" s="31" t="s">
        <v>1223</v>
      </c>
      <c r="B73" s="330" t="s">
        <v>1220</v>
      </c>
      <c r="C73" s="308">
        <v>1</v>
      </c>
      <c r="D73">
        <v>83024900</v>
      </c>
      <c r="E73" s="309">
        <v>642</v>
      </c>
      <c r="F73" s="306">
        <v>642</v>
      </c>
      <c r="G73" t="s">
        <v>1264</v>
      </c>
      <c r="H73" s="78">
        <v>1706</v>
      </c>
    </row>
    <row r="74" spans="1:8" x14ac:dyDescent="0.3">
      <c r="A74" s="31" t="s">
        <v>1244</v>
      </c>
      <c r="B74" s="330" t="s">
        <v>1240</v>
      </c>
      <c r="C74" s="308">
        <v>12.5</v>
      </c>
      <c r="D74">
        <v>70072900</v>
      </c>
      <c r="E74" s="309">
        <v>470</v>
      </c>
      <c r="F74" s="306">
        <v>5875</v>
      </c>
      <c r="G74" t="s">
        <v>1264</v>
      </c>
      <c r="H74" s="78">
        <v>1706</v>
      </c>
    </row>
    <row r="75" spans="1:8" x14ac:dyDescent="0.3">
      <c r="A75" s="31" t="s">
        <v>1243</v>
      </c>
      <c r="B75" s="330" t="s">
        <v>1220</v>
      </c>
      <c r="C75" s="308">
        <v>1</v>
      </c>
      <c r="D75">
        <v>76042100</v>
      </c>
      <c r="E75" s="309">
        <v>1980</v>
      </c>
      <c r="F75" s="306">
        <v>1980</v>
      </c>
      <c r="G75" t="s">
        <v>1264</v>
      </c>
      <c r="H75" s="78">
        <v>1707</v>
      </c>
    </row>
    <row r="76" spans="1:8" x14ac:dyDescent="0.3">
      <c r="A76" s="31" t="s">
        <v>1242</v>
      </c>
      <c r="B76" s="330" t="s">
        <v>1220</v>
      </c>
      <c r="C76" s="308">
        <v>2</v>
      </c>
      <c r="D76">
        <v>76042100</v>
      </c>
      <c r="E76" s="309">
        <v>1980</v>
      </c>
      <c r="F76" s="306">
        <v>3960</v>
      </c>
      <c r="G76" t="s">
        <v>1264</v>
      </c>
      <c r="H76" s="78">
        <v>1707</v>
      </c>
    </row>
    <row r="77" spans="1:8" x14ac:dyDescent="0.3">
      <c r="A77" s="31" t="s">
        <v>1228</v>
      </c>
      <c r="B77" s="330" t="s">
        <v>1220</v>
      </c>
      <c r="C77" s="308">
        <v>1</v>
      </c>
      <c r="D77">
        <v>83024900</v>
      </c>
      <c r="E77" s="309">
        <v>723</v>
      </c>
      <c r="F77" s="306">
        <v>723</v>
      </c>
      <c r="G77" t="s">
        <v>1264</v>
      </c>
      <c r="H77" s="78">
        <v>1707</v>
      </c>
    </row>
    <row r="78" spans="1:8" x14ac:dyDescent="0.3">
      <c r="A78" s="31" t="s">
        <v>1241</v>
      </c>
      <c r="B78" s="330" t="s">
        <v>1220</v>
      </c>
      <c r="C78" s="308">
        <v>1</v>
      </c>
      <c r="D78">
        <v>84798999</v>
      </c>
      <c r="E78" s="309">
        <v>3400</v>
      </c>
      <c r="F78" s="306">
        <v>3400</v>
      </c>
      <c r="G78" t="s">
        <v>1264</v>
      </c>
      <c r="H78" s="78">
        <v>1707</v>
      </c>
    </row>
    <row r="79" spans="1:8" x14ac:dyDescent="0.3">
      <c r="A79" s="31" t="s">
        <v>1222</v>
      </c>
      <c r="B79" s="330" t="s">
        <v>1220</v>
      </c>
      <c r="C79" s="308">
        <v>1</v>
      </c>
      <c r="D79">
        <v>84798999</v>
      </c>
      <c r="E79" s="309">
        <v>13100</v>
      </c>
      <c r="F79" s="306">
        <v>13100</v>
      </c>
      <c r="G79" t="s">
        <v>1264</v>
      </c>
      <c r="H79" s="78">
        <v>1707</v>
      </c>
    </row>
    <row r="80" spans="1:8" x14ac:dyDescent="0.3">
      <c r="A80" s="31" t="s">
        <v>1224</v>
      </c>
      <c r="B80" s="330" t="s">
        <v>1220</v>
      </c>
      <c r="C80" s="308">
        <v>1</v>
      </c>
      <c r="D80">
        <v>85261000</v>
      </c>
      <c r="E80" s="309">
        <v>850</v>
      </c>
      <c r="F80" s="306">
        <v>850</v>
      </c>
      <c r="G80" t="s">
        <v>1264</v>
      </c>
      <c r="H80" s="78">
        <v>1707</v>
      </c>
    </row>
    <row r="81" spans="1:8" x14ac:dyDescent="0.3">
      <c r="A81" s="31" t="s">
        <v>1226</v>
      </c>
      <c r="B81" s="330" t="s">
        <v>1220</v>
      </c>
      <c r="C81" s="308">
        <v>1</v>
      </c>
      <c r="D81">
        <v>85423190</v>
      </c>
      <c r="E81" s="309">
        <v>625</v>
      </c>
      <c r="F81" s="306">
        <v>625</v>
      </c>
      <c r="G81" t="s">
        <v>1264</v>
      </c>
      <c r="H81" s="78">
        <v>1707</v>
      </c>
    </row>
    <row r="82" spans="1:8" x14ac:dyDescent="0.3">
      <c r="A82" s="31" t="s">
        <v>1225</v>
      </c>
      <c r="B82" s="330" t="s">
        <v>1220</v>
      </c>
      <c r="C82" s="308">
        <v>1</v>
      </c>
      <c r="D82">
        <v>84798999</v>
      </c>
      <c r="E82" s="309">
        <v>1600</v>
      </c>
      <c r="F82" s="306">
        <v>1600</v>
      </c>
      <c r="G82" t="s">
        <v>1264</v>
      </c>
      <c r="H82" s="78">
        <v>1707</v>
      </c>
    </row>
    <row r="83" spans="1:8" x14ac:dyDescent="0.3">
      <c r="A83" s="31" t="s">
        <v>1223</v>
      </c>
      <c r="B83" s="330" t="s">
        <v>1220</v>
      </c>
      <c r="C83" s="308">
        <v>1</v>
      </c>
      <c r="D83">
        <v>83024900</v>
      </c>
      <c r="E83" s="309">
        <v>642</v>
      </c>
      <c r="F83" s="306">
        <v>642</v>
      </c>
      <c r="G83" t="s">
        <v>1264</v>
      </c>
      <c r="H83" s="78">
        <v>1707</v>
      </c>
    </row>
    <row r="84" spans="1:8" x14ac:dyDescent="0.3">
      <c r="A84" s="31" t="s">
        <v>1244</v>
      </c>
      <c r="B84" s="330" t="s">
        <v>1240</v>
      </c>
      <c r="C84" s="308">
        <v>12.5</v>
      </c>
      <c r="D84">
        <v>70072900</v>
      </c>
      <c r="E84" s="309">
        <v>470</v>
      </c>
      <c r="F84" s="306">
        <v>5875</v>
      </c>
      <c r="G84" t="s">
        <v>1264</v>
      </c>
      <c r="H84" s="78">
        <v>1707</v>
      </c>
    </row>
    <row r="85" spans="1:8" x14ac:dyDescent="0.3">
      <c r="A85" s="31" t="s">
        <v>1233</v>
      </c>
      <c r="B85" s="330" t="s">
        <v>1220</v>
      </c>
      <c r="C85" s="308">
        <v>2</v>
      </c>
      <c r="D85">
        <v>83024900</v>
      </c>
      <c r="E85" s="309">
        <v>365.5</v>
      </c>
      <c r="F85" s="306">
        <v>731</v>
      </c>
      <c r="G85" t="s">
        <v>1229</v>
      </c>
      <c r="H85" s="78">
        <v>1708</v>
      </c>
    </row>
    <row r="86" spans="1:8" x14ac:dyDescent="0.3">
      <c r="A86" s="31" t="s">
        <v>1230</v>
      </c>
      <c r="B86" s="330" t="s">
        <v>1220</v>
      </c>
      <c r="C86" s="308">
        <v>1</v>
      </c>
      <c r="D86">
        <v>84798999</v>
      </c>
      <c r="E86" s="309">
        <v>8900</v>
      </c>
      <c r="F86" s="306">
        <v>8900</v>
      </c>
      <c r="G86" t="s">
        <v>1229</v>
      </c>
      <c r="H86" s="78">
        <v>1708</v>
      </c>
    </row>
    <row r="87" spans="1:8" x14ac:dyDescent="0.3">
      <c r="A87" s="31" t="s">
        <v>1231</v>
      </c>
      <c r="B87" s="330" t="s">
        <v>1220</v>
      </c>
      <c r="C87" s="308">
        <v>1</v>
      </c>
      <c r="D87">
        <v>85423190</v>
      </c>
      <c r="E87" s="309">
        <v>724</v>
      </c>
      <c r="F87" s="306">
        <v>724</v>
      </c>
      <c r="G87" t="s">
        <v>1229</v>
      </c>
      <c r="H87" s="78">
        <v>1708</v>
      </c>
    </row>
    <row r="88" spans="1:8" x14ac:dyDescent="0.3">
      <c r="A88" s="31" t="s">
        <v>1232</v>
      </c>
      <c r="B88" s="330" t="s">
        <v>1220</v>
      </c>
      <c r="C88" s="308">
        <v>1</v>
      </c>
      <c r="D88">
        <v>83026000</v>
      </c>
      <c r="E88" s="309">
        <v>450</v>
      </c>
      <c r="F88" s="306">
        <v>450</v>
      </c>
      <c r="G88" t="s">
        <v>1229</v>
      </c>
      <c r="H88" s="78">
        <v>1708</v>
      </c>
    </row>
    <row r="89" spans="1:8" x14ac:dyDescent="0.3">
      <c r="A89" s="31" t="s">
        <v>1245</v>
      </c>
      <c r="B89" s="330" t="s">
        <v>1220</v>
      </c>
      <c r="C89" s="308">
        <v>1</v>
      </c>
      <c r="D89">
        <v>85423190</v>
      </c>
      <c r="E89" s="309">
        <v>511.14</v>
      </c>
      <c r="F89" s="306">
        <v>511.14</v>
      </c>
      <c r="G89" t="s">
        <v>1267</v>
      </c>
      <c r="H89" s="78">
        <v>1710</v>
      </c>
    </row>
    <row r="90" spans="1:8" x14ac:dyDescent="0.3">
      <c r="A90" s="31" t="s">
        <v>1231</v>
      </c>
      <c r="B90" s="330" t="s">
        <v>1220</v>
      </c>
      <c r="C90" s="308">
        <v>1</v>
      </c>
      <c r="D90">
        <v>85423190</v>
      </c>
      <c r="E90" s="309">
        <v>724</v>
      </c>
      <c r="F90" s="306">
        <v>724</v>
      </c>
      <c r="G90" t="s">
        <v>1267</v>
      </c>
      <c r="H90" s="78">
        <v>1710</v>
      </c>
    </row>
    <row r="91" spans="1:8" x14ac:dyDescent="0.3">
      <c r="A91" s="31" t="s">
        <v>1227</v>
      </c>
      <c r="B91" s="330" t="s">
        <v>1220</v>
      </c>
      <c r="C91" s="308">
        <v>1</v>
      </c>
      <c r="D91">
        <v>76101000</v>
      </c>
      <c r="E91" s="309">
        <v>481.5</v>
      </c>
      <c r="F91" s="306">
        <v>481.5</v>
      </c>
      <c r="G91" t="s">
        <v>1221</v>
      </c>
      <c r="H91" s="78">
        <v>1711</v>
      </c>
    </row>
    <row r="92" spans="1:8" x14ac:dyDescent="0.3">
      <c r="A92" s="31" t="s">
        <v>1228</v>
      </c>
      <c r="B92" s="330" t="s">
        <v>1220</v>
      </c>
      <c r="C92" s="308">
        <v>1</v>
      </c>
      <c r="D92">
        <v>83024900</v>
      </c>
      <c r="E92" s="309">
        <v>723</v>
      </c>
      <c r="F92" s="306">
        <v>723</v>
      </c>
      <c r="G92" t="s">
        <v>1221</v>
      </c>
      <c r="H92" s="78">
        <v>1711</v>
      </c>
    </row>
    <row r="93" spans="1:8" x14ac:dyDescent="0.3">
      <c r="A93" s="31" t="s">
        <v>1222</v>
      </c>
      <c r="B93" s="330" t="s">
        <v>1220</v>
      </c>
      <c r="C93" s="308">
        <v>1</v>
      </c>
      <c r="D93">
        <v>84798999</v>
      </c>
      <c r="E93" s="309">
        <v>13100</v>
      </c>
      <c r="F93" s="306">
        <v>13100</v>
      </c>
      <c r="G93" t="s">
        <v>1221</v>
      </c>
      <c r="H93" s="78">
        <v>1711</v>
      </c>
    </row>
    <row r="94" spans="1:8" x14ac:dyDescent="0.3">
      <c r="A94" s="31" t="s">
        <v>1224</v>
      </c>
      <c r="B94" s="330" t="s">
        <v>1220</v>
      </c>
      <c r="C94" s="308">
        <v>1</v>
      </c>
      <c r="D94">
        <v>85261000</v>
      </c>
      <c r="E94" s="309">
        <v>850</v>
      </c>
      <c r="F94" s="306">
        <v>850</v>
      </c>
      <c r="G94" t="s">
        <v>1221</v>
      </c>
      <c r="H94" s="78">
        <v>1711</v>
      </c>
    </row>
    <row r="95" spans="1:8" x14ac:dyDescent="0.3">
      <c r="A95" s="31" t="s">
        <v>1226</v>
      </c>
      <c r="B95" s="330" t="s">
        <v>1220</v>
      </c>
      <c r="C95" s="308">
        <v>1</v>
      </c>
      <c r="D95">
        <v>85423190</v>
      </c>
      <c r="E95" s="309">
        <v>625</v>
      </c>
      <c r="F95" s="306">
        <v>625</v>
      </c>
      <c r="G95" t="s">
        <v>1221</v>
      </c>
      <c r="H95" s="78">
        <v>1711</v>
      </c>
    </row>
    <row r="96" spans="1:8" x14ac:dyDescent="0.3">
      <c r="A96" s="31" t="s">
        <v>1225</v>
      </c>
      <c r="B96" s="330" t="s">
        <v>1220</v>
      </c>
      <c r="C96" s="308">
        <v>1</v>
      </c>
      <c r="D96">
        <v>84798999</v>
      </c>
      <c r="E96" s="309">
        <v>1600</v>
      </c>
      <c r="F96" s="306">
        <v>1600</v>
      </c>
      <c r="G96" t="s">
        <v>1221</v>
      </c>
      <c r="H96" s="78">
        <v>1711</v>
      </c>
    </row>
    <row r="97" spans="1:8" x14ac:dyDescent="0.3">
      <c r="A97" s="31" t="s">
        <v>1223</v>
      </c>
      <c r="B97" s="330" t="s">
        <v>1220</v>
      </c>
      <c r="C97" s="308">
        <v>1</v>
      </c>
      <c r="D97">
        <v>83024900</v>
      </c>
      <c r="E97" s="309">
        <v>642</v>
      </c>
      <c r="F97" s="306">
        <v>642</v>
      </c>
      <c r="G97" t="s">
        <v>1221</v>
      </c>
      <c r="H97" s="78">
        <v>1711</v>
      </c>
    </row>
    <row r="98" spans="1:8" x14ac:dyDescent="0.3">
      <c r="A98" s="31" t="s">
        <v>1292</v>
      </c>
      <c r="B98" s="330" t="s">
        <v>1220</v>
      </c>
      <c r="C98" s="308">
        <v>1</v>
      </c>
      <c r="D98">
        <v>76101000</v>
      </c>
      <c r="E98" s="309">
        <v>663.4</v>
      </c>
      <c r="F98" s="306">
        <v>663.4</v>
      </c>
      <c r="G98" t="s">
        <v>1288</v>
      </c>
      <c r="H98" s="78">
        <v>1712</v>
      </c>
    </row>
    <row r="99" spans="1:8" x14ac:dyDescent="0.3">
      <c r="A99" s="31" t="s">
        <v>1227</v>
      </c>
      <c r="B99" s="330" t="s">
        <v>1220</v>
      </c>
      <c r="C99" s="308">
        <v>1</v>
      </c>
      <c r="D99">
        <v>76101000</v>
      </c>
      <c r="E99" s="309">
        <v>481.5</v>
      </c>
      <c r="F99" s="306">
        <v>481.5</v>
      </c>
      <c r="G99" t="s">
        <v>1288</v>
      </c>
      <c r="H99" s="78">
        <v>1712</v>
      </c>
    </row>
    <row r="100" spans="1:8" x14ac:dyDescent="0.3">
      <c r="A100" s="31" t="s">
        <v>1291</v>
      </c>
      <c r="B100" s="330" t="s">
        <v>1220</v>
      </c>
      <c r="C100" s="308">
        <v>1</v>
      </c>
      <c r="D100">
        <v>83024900</v>
      </c>
      <c r="E100" s="309">
        <v>723</v>
      </c>
      <c r="F100" s="306">
        <v>723</v>
      </c>
      <c r="G100" t="s">
        <v>1288</v>
      </c>
      <c r="H100" s="78">
        <v>1712</v>
      </c>
    </row>
    <row r="101" spans="1:8" x14ac:dyDescent="0.3">
      <c r="A101" s="31" t="s">
        <v>1290</v>
      </c>
      <c r="B101" s="330" t="s">
        <v>1220</v>
      </c>
      <c r="C101" s="308">
        <v>1</v>
      </c>
      <c r="D101">
        <v>84798999</v>
      </c>
      <c r="E101" s="309">
        <v>9000</v>
      </c>
      <c r="F101" s="306">
        <v>9000</v>
      </c>
      <c r="G101" t="s">
        <v>1288</v>
      </c>
      <c r="H101" s="78">
        <v>1712</v>
      </c>
    </row>
    <row r="102" spans="1:8" x14ac:dyDescent="0.3">
      <c r="A102" s="31" t="s">
        <v>1224</v>
      </c>
      <c r="B102" s="330" t="s">
        <v>1220</v>
      </c>
      <c r="C102" s="308">
        <v>1</v>
      </c>
      <c r="D102">
        <v>85261000</v>
      </c>
      <c r="E102" s="309">
        <v>850</v>
      </c>
      <c r="F102" s="306">
        <v>850</v>
      </c>
      <c r="G102" t="s">
        <v>1288</v>
      </c>
      <c r="H102" s="78">
        <v>1712</v>
      </c>
    </row>
    <row r="103" spans="1:8" x14ac:dyDescent="0.3">
      <c r="A103" s="31" t="s">
        <v>1226</v>
      </c>
      <c r="B103" s="330" t="s">
        <v>1220</v>
      </c>
      <c r="C103" s="308">
        <v>1</v>
      </c>
      <c r="D103">
        <v>85423190</v>
      </c>
      <c r="E103" s="309">
        <v>625</v>
      </c>
      <c r="F103" s="306">
        <v>625</v>
      </c>
      <c r="G103" t="s">
        <v>1288</v>
      </c>
      <c r="H103" s="78">
        <v>1712</v>
      </c>
    </row>
    <row r="104" spans="1:8" x14ac:dyDescent="0.3">
      <c r="A104" s="31" t="s">
        <v>1225</v>
      </c>
      <c r="B104" s="330" t="s">
        <v>1220</v>
      </c>
      <c r="C104" s="308">
        <v>1</v>
      </c>
      <c r="D104">
        <v>84798999</v>
      </c>
      <c r="E104" s="309">
        <v>1600</v>
      </c>
      <c r="F104" s="306">
        <v>1600</v>
      </c>
      <c r="G104" t="s">
        <v>1288</v>
      </c>
      <c r="H104" s="78">
        <v>1712</v>
      </c>
    </row>
    <row r="105" spans="1:8" x14ac:dyDescent="0.3">
      <c r="A105" s="31" t="s">
        <v>1186</v>
      </c>
      <c r="B105" s="330" t="s">
        <v>1220</v>
      </c>
      <c r="C105" s="308">
        <v>1</v>
      </c>
      <c r="D105">
        <v>83024900</v>
      </c>
      <c r="E105" s="309">
        <v>450</v>
      </c>
      <c r="F105" s="306">
        <v>450</v>
      </c>
      <c r="G105" t="s">
        <v>1288</v>
      </c>
      <c r="H105" s="78">
        <v>1712</v>
      </c>
    </row>
    <row r="106" spans="1:8" x14ac:dyDescent="0.3">
      <c r="A106" s="31" t="s">
        <v>1243</v>
      </c>
      <c r="B106" s="330" t="s">
        <v>1220</v>
      </c>
      <c r="C106" s="308">
        <v>1</v>
      </c>
      <c r="D106">
        <v>76042100</v>
      </c>
      <c r="E106" s="309">
        <v>1980</v>
      </c>
      <c r="F106" s="306">
        <v>1980</v>
      </c>
      <c r="G106" t="s">
        <v>1288</v>
      </c>
      <c r="H106" s="78">
        <v>1713</v>
      </c>
    </row>
    <row r="107" spans="1:8" x14ac:dyDescent="0.3">
      <c r="A107" s="31" t="s">
        <v>1242</v>
      </c>
      <c r="B107" s="330" t="s">
        <v>1220</v>
      </c>
      <c r="C107" s="308">
        <v>1</v>
      </c>
      <c r="D107">
        <v>76042100</v>
      </c>
      <c r="E107" s="309">
        <v>1980</v>
      </c>
      <c r="F107" s="306">
        <v>1980</v>
      </c>
      <c r="G107" t="s">
        <v>1288</v>
      </c>
      <c r="H107" s="78">
        <v>1713</v>
      </c>
    </row>
    <row r="108" spans="1:8" x14ac:dyDescent="0.3">
      <c r="A108" s="31" t="s">
        <v>1291</v>
      </c>
      <c r="B108" s="330" t="s">
        <v>1220</v>
      </c>
      <c r="C108" s="308">
        <v>1</v>
      </c>
      <c r="D108">
        <v>83024900</v>
      </c>
      <c r="E108" s="309">
        <v>723</v>
      </c>
      <c r="F108" s="306">
        <v>723</v>
      </c>
      <c r="G108" t="s">
        <v>1288</v>
      </c>
      <c r="H108" s="78">
        <v>1713</v>
      </c>
    </row>
    <row r="109" spans="1:8" x14ac:dyDescent="0.3">
      <c r="A109" s="31" t="s">
        <v>1290</v>
      </c>
      <c r="B109" s="330" t="s">
        <v>1220</v>
      </c>
      <c r="C109" s="308">
        <v>1</v>
      </c>
      <c r="D109">
        <v>84798999</v>
      </c>
      <c r="E109" s="309">
        <v>9000</v>
      </c>
      <c r="F109" s="306">
        <v>9000</v>
      </c>
      <c r="G109" t="s">
        <v>1288</v>
      </c>
      <c r="H109" s="78">
        <v>1713</v>
      </c>
    </row>
    <row r="110" spans="1:8" x14ac:dyDescent="0.3">
      <c r="A110" s="31" t="s">
        <v>1224</v>
      </c>
      <c r="B110" s="330" t="s">
        <v>1220</v>
      </c>
      <c r="C110" s="308">
        <v>1</v>
      </c>
      <c r="D110">
        <v>85261000</v>
      </c>
      <c r="E110" s="309">
        <v>850</v>
      </c>
      <c r="F110" s="306">
        <v>850</v>
      </c>
      <c r="G110" t="s">
        <v>1288</v>
      </c>
      <c r="H110" s="78">
        <v>1713</v>
      </c>
    </row>
    <row r="111" spans="1:8" x14ac:dyDescent="0.3">
      <c r="A111" s="31" t="s">
        <v>1226</v>
      </c>
      <c r="B111" s="330" t="s">
        <v>1220</v>
      </c>
      <c r="C111" s="308">
        <v>1</v>
      </c>
      <c r="D111">
        <v>85423190</v>
      </c>
      <c r="E111" s="309">
        <v>625</v>
      </c>
      <c r="F111" s="306">
        <v>625</v>
      </c>
      <c r="G111" t="s">
        <v>1288</v>
      </c>
      <c r="H111" s="78">
        <v>1713</v>
      </c>
    </row>
    <row r="112" spans="1:8" x14ac:dyDescent="0.3">
      <c r="A112" s="31" t="s">
        <v>1225</v>
      </c>
      <c r="B112" s="330" t="s">
        <v>1220</v>
      </c>
      <c r="C112" s="308">
        <v>1</v>
      </c>
      <c r="D112">
        <v>84798999</v>
      </c>
      <c r="E112" s="309">
        <v>1600</v>
      </c>
      <c r="F112" s="306">
        <v>1600</v>
      </c>
      <c r="G112" t="s">
        <v>1288</v>
      </c>
      <c r="H112" s="78">
        <v>1713</v>
      </c>
    </row>
    <row r="113" spans="1:8" x14ac:dyDescent="0.3">
      <c r="A113" s="31" t="s">
        <v>1186</v>
      </c>
      <c r="B113" s="330" t="s">
        <v>1220</v>
      </c>
      <c r="C113" s="308">
        <v>1</v>
      </c>
      <c r="D113">
        <v>83024900</v>
      </c>
      <c r="E113" s="309">
        <v>450</v>
      </c>
      <c r="F113" s="306">
        <v>450</v>
      </c>
      <c r="G113" t="s">
        <v>1288</v>
      </c>
      <c r="H113" s="78">
        <v>1713</v>
      </c>
    </row>
    <row r="114" spans="1:8" x14ac:dyDescent="0.3">
      <c r="A114" s="31" t="s">
        <v>1278</v>
      </c>
      <c r="B114" s="330" t="s">
        <v>1220</v>
      </c>
      <c r="C114" s="308">
        <v>1</v>
      </c>
      <c r="D114">
        <v>85261000</v>
      </c>
      <c r="E114" s="309">
        <v>655.5</v>
      </c>
      <c r="F114" s="306">
        <v>655.5</v>
      </c>
      <c r="G114" t="s">
        <v>1305</v>
      </c>
      <c r="H114" s="78">
        <v>1714</v>
      </c>
    </row>
    <row r="115" spans="1:8" x14ac:dyDescent="0.3">
      <c r="A115" s="31" t="s">
        <v>1227</v>
      </c>
      <c r="B115" s="330" t="s">
        <v>1220</v>
      </c>
      <c r="C115" s="308">
        <v>1</v>
      </c>
      <c r="D115">
        <v>76101000</v>
      </c>
      <c r="E115" s="309">
        <v>481.5</v>
      </c>
      <c r="F115" s="306">
        <v>481.5</v>
      </c>
      <c r="G115" t="s">
        <v>1305</v>
      </c>
      <c r="H115" s="78">
        <v>1714</v>
      </c>
    </row>
    <row r="116" spans="1:8" x14ac:dyDescent="0.3">
      <c r="A116" s="31" t="s">
        <v>1222</v>
      </c>
      <c r="B116" s="330" t="s">
        <v>1220</v>
      </c>
      <c r="C116" s="308">
        <v>1</v>
      </c>
      <c r="D116">
        <v>84798999</v>
      </c>
      <c r="E116" s="309">
        <v>13100</v>
      </c>
      <c r="F116" s="306">
        <v>13100</v>
      </c>
      <c r="G116" t="s">
        <v>1305</v>
      </c>
      <c r="H116" s="78">
        <v>1714</v>
      </c>
    </row>
    <row r="117" spans="1:8" x14ac:dyDescent="0.3">
      <c r="A117" s="31" t="s">
        <v>1224</v>
      </c>
      <c r="B117" s="330" t="s">
        <v>1220</v>
      </c>
      <c r="C117" s="308">
        <v>1</v>
      </c>
      <c r="D117">
        <v>85261000</v>
      </c>
      <c r="E117" s="309">
        <v>850</v>
      </c>
      <c r="F117" s="306">
        <v>850</v>
      </c>
      <c r="G117" t="s">
        <v>1305</v>
      </c>
      <c r="H117" s="78">
        <v>1714</v>
      </c>
    </row>
    <row r="118" spans="1:8" x14ac:dyDescent="0.3">
      <c r="A118" s="31" t="s">
        <v>1226</v>
      </c>
      <c r="B118" s="330" t="s">
        <v>1220</v>
      </c>
      <c r="C118" s="308">
        <v>1</v>
      </c>
      <c r="D118">
        <v>85423190</v>
      </c>
      <c r="E118" s="309">
        <v>625</v>
      </c>
      <c r="F118" s="306">
        <v>625</v>
      </c>
      <c r="G118" t="s">
        <v>1305</v>
      </c>
      <c r="H118" s="78">
        <v>1714</v>
      </c>
    </row>
    <row r="119" spans="1:8" x14ac:dyDescent="0.3">
      <c r="A119" s="31" t="s">
        <v>1225</v>
      </c>
      <c r="B119" s="330" t="s">
        <v>1220</v>
      </c>
      <c r="C119" s="308">
        <v>1</v>
      </c>
      <c r="D119">
        <v>84798999</v>
      </c>
      <c r="E119" s="309">
        <v>1600</v>
      </c>
      <c r="F119" s="306">
        <v>1600</v>
      </c>
      <c r="G119" t="s">
        <v>1305</v>
      </c>
      <c r="H119" s="78">
        <v>1714</v>
      </c>
    </row>
    <row r="120" spans="1:8" x14ac:dyDescent="0.3">
      <c r="A120" s="31" t="s">
        <v>1223</v>
      </c>
      <c r="B120" s="330" t="s">
        <v>1220</v>
      </c>
      <c r="C120" s="308">
        <v>1</v>
      </c>
      <c r="D120">
        <v>83024900</v>
      </c>
      <c r="E120" s="309">
        <v>642</v>
      </c>
      <c r="F120" s="306">
        <v>642</v>
      </c>
      <c r="G120" t="s">
        <v>1305</v>
      </c>
      <c r="H120" s="78">
        <v>1714</v>
      </c>
    </row>
    <row r="121" spans="1:8" x14ac:dyDescent="0.3">
      <c r="A121" s="31" t="s">
        <v>1306</v>
      </c>
      <c r="B121" s="330" t="s">
        <v>1240</v>
      </c>
      <c r="C121" s="308">
        <v>3.1</v>
      </c>
      <c r="D121">
        <v>70072900</v>
      </c>
      <c r="E121" s="309">
        <v>960</v>
      </c>
      <c r="F121" s="306">
        <v>2976</v>
      </c>
      <c r="G121" t="s">
        <v>1305</v>
      </c>
      <c r="H121" s="78">
        <v>1714</v>
      </c>
    </row>
    <row r="122" spans="1:8" x14ac:dyDescent="0.3">
      <c r="A122" s="31" t="s">
        <v>1278</v>
      </c>
      <c r="B122" s="330" t="s">
        <v>1220</v>
      </c>
      <c r="C122" s="308">
        <v>1</v>
      </c>
      <c r="D122">
        <v>85261000</v>
      </c>
      <c r="E122" s="309">
        <v>655.5</v>
      </c>
      <c r="F122" s="306">
        <v>655.5</v>
      </c>
      <c r="G122" t="s">
        <v>1305</v>
      </c>
      <c r="H122" s="78">
        <v>1716</v>
      </c>
    </row>
    <row r="123" spans="1:8" x14ac:dyDescent="0.3">
      <c r="A123" s="31" t="s">
        <v>1227</v>
      </c>
      <c r="B123" s="330" t="s">
        <v>1220</v>
      </c>
      <c r="C123" s="308">
        <v>2</v>
      </c>
      <c r="D123">
        <v>76101000</v>
      </c>
      <c r="E123" s="309">
        <v>481.5</v>
      </c>
      <c r="F123" s="306">
        <v>963</v>
      </c>
      <c r="G123" t="s">
        <v>1305</v>
      </c>
      <c r="H123" s="78">
        <v>1716</v>
      </c>
    </row>
    <row r="124" spans="1:8" x14ac:dyDescent="0.3">
      <c r="A124" s="31" t="s">
        <v>1241</v>
      </c>
      <c r="B124" s="330" t="s">
        <v>1220</v>
      </c>
      <c r="C124" s="308">
        <v>1</v>
      </c>
      <c r="D124">
        <v>84798999</v>
      </c>
      <c r="E124" s="309">
        <v>3400</v>
      </c>
      <c r="F124" s="306">
        <v>3400</v>
      </c>
      <c r="G124" t="s">
        <v>1305</v>
      </c>
      <c r="H124" s="78">
        <v>1716</v>
      </c>
    </row>
    <row r="125" spans="1:8" x14ac:dyDescent="0.3">
      <c r="A125" s="31" t="s">
        <v>1222</v>
      </c>
      <c r="B125" s="330" t="s">
        <v>1220</v>
      </c>
      <c r="C125" s="308">
        <v>1</v>
      </c>
      <c r="D125">
        <v>84798999</v>
      </c>
      <c r="E125" s="309">
        <v>13100</v>
      </c>
      <c r="F125" s="306">
        <v>13100</v>
      </c>
      <c r="G125" t="s">
        <v>1305</v>
      </c>
      <c r="H125" s="78">
        <v>1716</v>
      </c>
    </row>
    <row r="126" spans="1:8" x14ac:dyDescent="0.3">
      <c r="A126" s="31" t="s">
        <v>1224</v>
      </c>
      <c r="B126" s="330" t="s">
        <v>1220</v>
      </c>
      <c r="C126" s="308">
        <v>1</v>
      </c>
      <c r="D126">
        <v>85261000</v>
      </c>
      <c r="E126" s="309">
        <v>850</v>
      </c>
      <c r="F126" s="306">
        <v>850</v>
      </c>
      <c r="G126" t="s">
        <v>1305</v>
      </c>
      <c r="H126" s="78">
        <v>1716</v>
      </c>
    </row>
    <row r="127" spans="1:8" x14ac:dyDescent="0.3">
      <c r="A127" s="31" t="s">
        <v>1226</v>
      </c>
      <c r="B127" s="330" t="s">
        <v>1220</v>
      </c>
      <c r="C127" s="308">
        <v>1</v>
      </c>
      <c r="D127">
        <v>85423190</v>
      </c>
      <c r="E127" s="309">
        <v>625</v>
      </c>
      <c r="F127" s="306">
        <v>625</v>
      </c>
      <c r="G127" t="s">
        <v>1305</v>
      </c>
      <c r="H127" s="78">
        <v>1716</v>
      </c>
    </row>
    <row r="128" spans="1:8" x14ac:dyDescent="0.3">
      <c r="A128" s="31" t="s">
        <v>1225</v>
      </c>
      <c r="B128" s="330" t="s">
        <v>1220</v>
      </c>
      <c r="C128" s="308">
        <v>1</v>
      </c>
      <c r="D128">
        <v>84798999</v>
      </c>
      <c r="E128" s="309">
        <v>1600</v>
      </c>
      <c r="F128" s="306">
        <v>1600</v>
      </c>
      <c r="G128" t="s">
        <v>1305</v>
      </c>
      <c r="H128" s="78">
        <v>1716</v>
      </c>
    </row>
    <row r="129" spans="1:8" x14ac:dyDescent="0.3">
      <c r="A129" s="31" t="s">
        <v>1223</v>
      </c>
      <c r="B129" s="330" t="s">
        <v>1220</v>
      </c>
      <c r="C129" s="308">
        <v>1</v>
      </c>
      <c r="D129">
        <v>83024900</v>
      </c>
      <c r="E129" s="309">
        <v>642</v>
      </c>
      <c r="F129" s="306">
        <v>642</v>
      </c>
      <c r="G129" t="s">
        <v>1305</v>
      </c>
      <c r="H129" s="78">
        <v>1716</v>
      </c>
    </row>
    <row r="130" spans="1:8" x14ac:dyDescent="0.3">
      <c r="A130" s="31" t="s">
        <v>1306</v>
      </c>
      <c r="B130" s="330" t="s">
        <v>1240</v>
      </c>
      <c r="C130" s="308">
        <v>3.1</v>
      </c>
      <c r="D130">
        <v>70072900</v>
      </c>
      <c r="E130" s="309">
        <v>960</v>
      </c>
      <c r="F130" s="306">
        <v>2976</v>
      </c>
      <c r="G130" t="s">
        <v>1305</v>
      </c>
      <c r="H130" s="78">
        <v>1716</v>
      </c>
    </row>
    <row r="131" spans="1:8" x14ac:dyDescent="0.3">
      <c r="A131" s="31" t="s">
        <v>1243</v>
      </c>
      <c r="B131" s="330" t="s">
        <v>1220</v>
      </c>
      <c r="C131" s="308">
        <v>2</v>
      </c>
      <c r="D131">
        <v>76042100</v>
      </c>
      <c r="E131" s="309">
        <v>1980</v>
      </c>
      <c r="F131" s="306">
        <v>3960</v>
      </c>
      <c r="G131" t="s">
        <v>1316</v>
      </c>
      <c r="H131" s="78">
        <v>1717</v>
      </c>
    </row>
    <row r="132" spans="1:8" x14ac:dyDescent="0.3">
      <c r="A132" s="31" t="s">
        <v>1242</v>
      </c>
      <c r="B132" s="330" t="s">
        <v>1220</v>
      </c>
      <c r="C132" s="308">
        <v>4</v>
      </c>
      <c r="D132">
        <v>76042100</v>
      </c>
      <c r="E132" s="309">
        <v>1980</v>
      </c>
      <c r="F132" s="306">
        <v>7920</v>
      </c>
      <c r="G132" t="s">
        <v>1316</v>
      </c>
      <c r="H132" s="78">
        <v>1717</v>
      </c>
    </row>
    <row r="133" spans="1:8" x14ac:dyDescent="0.3">
      <c r="A133" s="31" t="s">
        <v>1291</v>
      </c>
      <c r="B133" s="330" t="s">
        <v>1220</v>
      </c>
      <c r="C133" s="308">
        <v>3</v>
      </c>
      <c r="D133">
        <v>83024900</v>
      </c>
      <c r="E133" s="309">
        <v>723</v>
      </c>
      <c r="F133" s="306">
        <v>2169</v>
      </c>
      <c r="G133" t="s">
        <v>1316</v>
      </c>
      <c r="H133" s="78">
        <v>1717</v>
      </c>
    </row>
    <row r="134" spans="1:8" x14ac:dyDescent="0.3">
      <c r="A134" s="31" t="s">
        <v>1185</v>
      </c>
      <c r="B134" s="330" t="s">
        <v>1220</v>
      </c>
      <c r="C134" s="308">
        <v>1</v>
      </c>
      <c r="D134">
        <v>84798999</v>
      </c>
      <c r="E134" s="309">
        <v>10900</v>
      </c>
      <c r="F134" s="306">
        <v>10900</v>
      </c>
      <c r="G134" t="s">
        <v>1316</v>
      </c>
      <c r="H134" s="78">
        <v>1717</v>
      </c>
    </row>
    <row r="135" spans="1:8" x14ac:dyDescent="0.3">
      <c r="A135" s="31" t="s">
        <v>1290</v>
      </c>
      <c r="B135" s="330" t="s">
        <v>1220</v>
      </c>
      <c r="C135" s="308">
        <v>2</v>
      </c>
      <c r="D135">
        <v>84798999</v>
      </c>
      <c r="E135" s="309">
        <v>9000</v>
      </c>
      <c r="F135" s="306">
        <v>18000</v>
      </c>
      <c r="G135" t="s">
        <v>1316</v>
      </c>
      <c r="H135" s="78">
        <v>1717</v>
      </c>
    </row>
    <row r="136" spans="1:8" x14ac:dyDescent="0.3">
      <c r="A136" s="31" t="s">
        <v>1224</v>
      </c>
      <c r="B136" s="330" t="s">
        <v>1220</v>
      </c>
      <c r="C136" s="308">
        <v>3</v>
      </c>
      <c r="D136">
        <v>85261000</v>
      </c>
      <c r="E136" s="309">
        <v>850</v>
      </c>
      <c r="F136" s="306">
        <v>2550</v>
      </c>
      <c r="G136" t="s">
        <v>1316</v>
      </c>
      <c r="H136" s="78">
        <v>1717</v>
      </c>
    </row>
    <row r="137" spans="1:8" x14ac:dyDescent="0.3">
      <c r="A137" s="31" t="s">
        <v>1226</v>
      </c>
      <c r="B137" s="330" t="s">
        <v>1220</v>
      </c>
      <c r="C137" s="308">
        <v>3</v>
      </c>
      <c r="D137">
        <v>85423190</v>
      </c>
      <c r="E137" s="309">
        <v>625</v>
      </c>
      <c r="F137" s="306">
        <v>1875</v>
      </c>
      <c r="G137" t="s">
        <v>1316</v>
      </c>
      <c r="H137" s="78">
        <v>1717</v>
      </c>
    </row>
    <row r="138" spans="1:8" x14ac:dyDescent="0.3">
      <c r="A138" s="31" t="s">
        <v>1225</v>
      </c>
      <c r="B138" s="330" t="s">
        <v>1220</v>
      </c>
      <c r="C138" s="308">
        <v>3</v>
      </c>
      <c r="D138">
        <v>84798999</v>
      </c>
      <c r="E138" s="309">
        <v>1600</v>
      </c>
      <c r="F138" s="306">
        <v>4800</v>
      </c>
      <c r="G138" t="s">
        <v>1316</v>
      </c>
      <c r="H138" s="78">
        <v>1717</v>
      </c>
    </row>
    <row r="139" spans="1:8" x14ac:dyDescent="0.3">
      <c r="A139" s="31" t="s">
        <v>1186</v>
      </c>
      <c r="B139" s="330" t="s">
        <v>1220</v>
      </c>
      <c r="C139" s="308">
        <v>3</v>
      </c>
      <c r="D139">
        <v>83024900</v>
      </c>
      <c r="E139" s="309">
        <v>450</v>
      </c>
      <c r="F139" s="306">
        <v>1350</v>
      </c>
      <c r="G139" t="s">
        <v>1316</v>
      </c>
      <c r="H139" s="78">
        <v>1717</v>
      </c>
    </row>
    <row r="140" spans="1:8" x14ac:dyDescent="0.3">
      <c r="A140" s="31" t="s">
        <v>1279</v>
      </c>
      <c r="B140" s="330" t="s">
        <v>1240</v>
      </c>
      <c r="C140" s="308">
        <v>9.6</v>
      </c>
      <c r="D140">
        <v>70072900</v>
      </c>
      <c r="E140" s="309">
        <v>470</v>
      </c>
      <c r="F140" s="306">
        <v>4512</v>
      </c>
      <c r="G140" t="s">
        <v>1316</v>
      </c>
      <c r="H140" s="78">
        <v>1717</v>
      </c>
    </row>
    <row r="141" spans="1:8" x14ac:dyDescent="0.3">
      <c r="A141" s="31" t="s">
        <v>1258</v>
      </c>
      <c r="B141" s="330" t="s">
        <v>1220</v>
      </c>
      <c r="C141" s="308">
        <v>1</v>
      </c>
      <c r="D141">
        <v>84799090</v>
      </c>
      <c r="E141" s="309">
        <v>447.45</v>
      </c>
      <c r="F141" s="306">
        <v>447.45</v>
      </c>
      <c r="G141" t="s">
        <v>1317</v>
      </c>
      <c r="H141" s="78">
        <v>1718</v>
      </c>
    </row>
    <row r="142" spans="1:8" x14ac:dyDescent="0.3">
      <c r="A142" s="31" t="s">
        <v>1319</v>
      </c>
      <c r="B142" s="330" t="s">
        <v>1220</v>
      </c>
      <c r="C142" s="308">
        <v>2</v>
      </c>
      <c r="D142">
        <v>84799090</v>
      </c>
      <c r="E142" s="309">
        <v>190</v>
      </c>
      <c r="F142" s="306">
        <v>380</v>
      </c>
      <c r="G142" t="s">
        <v>1317</v>
      </c>
      <c r="H142" s="78">
        <v>1718</v>
      </c>
    </row>
    <row r="143" spans="1:8" x14ac:dyDescent="0.3">
      <c r="A143" s="31" t="s">
        <v>1318</v>
      </c>
      <c r="B143" s="330" t="s">
        <v>1220</v>
      </c>
      <c r="C143" s="308">
        <v>1</v>
      </c>
      <c r="D143">
        <v>84799090</v>
      </c>
      <c r="E143" s="309">
        <v>445.65</v>
      </c>
      <c r="F143" s="306">
        <v>445.65</v>
      </c>
      <c r="G143" t="s">
        <v>1317</v>
      </c>
      <c r="H143" s="78">
        <v>1718</v>
      </c>
    </row>
    <row r="144" spans="1:8" x14ac:dyDescent="0.3">
      <c r="A144" s="31" t="s">
        <v>1275</v>
      </c>
      <c r="B144" s="330" t="s">
        <v>1220</v>
      </c>
      <c r="C144" s="308">
        <v>1</v>
      </c>
      <c r="D144">
        <v>85068090</v>
      </c>
      <c r="E144" s="309">
        <v>695.5</v>
      </c>
      <c r="F144" s="306">
        <v>695.5</v>
      </c>
      <c r="G144" t="s">
        <v>1324</v>
      </c>
      <c r="H144" s="78">
        <v>1721</v>
      </c>
    </row>
    <row r="145" spans="1:8" x14ac:dyDescent="0.3">
      <c r="A145" s="31" t="s">
        <v>1371</v>
      </c>
      <c r="B145" s="330" t="s">
        <v>1220</v>
      </c>
      <c r="C145" s="308">
        <v>4</v>
      </c>
      <c r="D145">
        <v>84799090</v>
      </c>
      <c r="E145" s="309">
        <v>501.56</v>
      </c>
      <c r="F145" s="306">
        <v>2006.24</v>
      </c>
      <c r="G145" t="s">
        <v>1324</v>
      </c>
      <c r="H145" s="78">
        <v>1721</v>
      </c>
    </row>
    <row r="146" spans="1:8" x14ac:dyDescent="0.3">
      <c r="A146" s="31" t="s">
        <v>1276</v>
      </c>
      <c r="B146" s="330" t="s">
        <v>1220</v>
      </c>
      <c r="C146" s="308">
        <v>2</v>
      </c>
      <c r="D146">
        <v>83024900</v>
      </c>
      <c r="E146" s="309">
        <v>190.4</v>
      </c>
      <c r="F146" s="306">
        <v>380.8</v>
      </c>
      <c r="G146" t="s">
        <v>1324</v>
      </c>
      <c r="H146" s="78">
        <v>1721</v>
      </c>
    </row>
    <row r="147" spans="1:8" x14ac:dyDescent="0.3">
      <c r="A147" s="31" t="s">
        <v>1258</v>
      </c>
      <c r="B147" s="330" t="s">
        <v>1220</v>
      </c>
      <c r="C147" s="308">
        <v>1</v>
      </c>
      <c r="D147">
        <v>84799090</v>
      </c>
      <c r="E147" s="309">
        <v>447.45</v>
      </c>
      <c r="F147" s="306">
        <v>447.45</v>
      </c>
      <c r="G147" t="s">
        <v>1324</v>
      </c>
      <c r="H147" s="78">
        <v>1721</v>
      </c>
    </row>
    <row r="148" spans="1:8" x14ac:dyDescent="0.3">
      <c r="A148" s="31" t="s">
        <v>1325</v>
      </c>
      <c r="B148" s="330" t="s">
        <v>1220</v>
      </c>
      <c r="C148" s="308">
        <v>1</v>
      </c>
      <c r="D148">
        <v>76042920</v>
      </c>
      <c r="E148" s="309">
        <v>480</v>
      </c>
      <c r="F148" s="306">
        <v>480</v>
      </c>
      <c r="G148" t="s">
        <v>1324</v>
      </c>
      <c r="H148" s="78">
        <v>1721</v>
      </c>
    </row>
    <row r="149" spans="1:8" x14ac:dyDescent="0.3">
      <c r="A149" s="31" t="s">
        <v>1274</v>
      </c>
      <c r="B149" s="330" t="s">
        <v>1220</v>
      </c>
      <c r="C149" s="308">
        <v>2</v>
      </c>
      <c r="D149">
        <v>39204900</v>
      </c>
      <c r="E149" s="309">
        <v>190</v>
      </c>
      <c r="F149" s="306">
        <v>380</v>
      </c>
      <c r="G149" t="s">
        <v>1324</v>
      </c>
      <c r="H149" s="78">
        <v>1721</v>
      </c>
    </row>
    <row r="150" spans="1:8" x14ac:dyDescent="0.3">
      <c r="A150" s="31" t="s">
        <v>1231</v>
      </c>
      <c r="B150" s="330" t="s">
        <v>1220</v>
      </c>
      <c r="C150" s="308">
        <v>1</v>
      </c>
      <c r="D150">
        <v>85423190</v>
      </c>
      <c r="E150" s="309">
        <v>724</v>
      </c>
      <c r="F150" s="306">
        <v>724</v>
      </c>
      <c r="G150" t="s">
        <v>1324</v>
      </c>
      <c r="H150" s="78">
        <v>1721</v>
      </c>
    </row>
    <row r="151" spans="1:8" x14ac:dyDescent="0.3">
      <c r="A151" s="31" t="s">
        <v>1405</v>
      </c>
      <c r="B151" s="330" t="s">
        <v>1220</v>
      </c>
      <c r="C151" s="308">
        <v>4</v>
      </c>
      <c r="D151">
        <v>84799090</v>
      </c>
      <c r="E151" s="309">
        <v>588.5</v>
      </c>
      <c r="F151" s="306">
        <v>2354</v>
      </c>
      <c r="G151" t="s">
        <v>1376</v>
      </c>
      <c r="H151" s="78">
        <v>1722</v>
      </c>
    </row>
    <row r="152" spans="1:8" x14ac:dyDescent="0.3">
      <c r="A152" s="31" t="s">
        <v>1325</v>
      </c>
      <c r="B152" s="330" t="s">
        <v>1220</v>
      </c>
      <c r="C152" s="308">
        <v>1</v>
      </c>
      <c r="D152">
        <v>76042920</v>
      </c>
      <c r="E152" s="309">
        <v>480</v>
      </c>
      <c r="F152" s="306">
        <v>480</v>
      </c>
      <c r="G152" t="s">
        <v>1376</v>
      </c>
      <c r="H152" s="78">
        <v>1722</v>
      </c>
    </row>
    <row r="153" spans="1:8" x14ac:dyDescent="0.3">
      <c r="A153" s="31" t="s">
        <v>1403</v>
      </c>
      <c r="B153" s="330" t="s">
        <v>1220</v>
      </c>
      <c r="C153" s="308">
        <v>1</v>
      </c>
      <c r="D153">
        <v>70072900</v>
      </c>
      <c r="E153" s="309">
        <v>4000</v>
      </c>
      <c r="F153" s="306">
        <v>4000</v>
      </c>
      <c r="G153" t="s">
        <v>1401</v>
      </c>
      <c r="H153" s="78">
        <v>1723</v>
      </c>
    </row>
    <row r="154" spans="1:8" x14ac:dyDescent="0.3">
      <c r="A154" s="31" t="s">
        <v>1243</v>
      </c>
      <c r="B154" s="330" t="s">
        <v>1220</v>
      </c>
      <c r="C154" s="308">
        <v>2</v>
      </c>
      <c r="D154">
        <v>76042100</v>
      </c>
      <c r="E154" s="309">
        <v>1980</v>
      </c>
      <c r="F154" s="306">
        <v>3960</v>
      </c>
      <c r="G154" t="s">
        <v>1401</v>
      </c>
      <c r="H154" s="78">
        <v>1723</v>
      </c>
    </row>
    <row r="155" spans="1:8" x14ac:dyDescent="0.3">
      <c r="A155" s="31" t="s">
        <v>1242</v>
      </c>
      <c r="B155" s="330" t="s">
        <v>1220</v>
      </c>
      <c r="C155" s="308">
        <v>2</v>
      </c>
      <c r="D155">
        <v>76042100</v>
      </c>
      <c r="E155" s="309">
        <v>1980</v>
      </c>
      <c r="F155" s="306">
        <v>3960</v>
      </c>
      <c r="G155" t="s">
        <v>1401</v>
      </c>
      <c r="H155" s="78">
        <v>1723</v>
      </c>
    </row>
    <row r="156" spans="1:8" x14ac:dyDescent="0.3">
      <c r="A156" s="31" t="s">
        <v>1291</v>
      </c>
      <c r="B156" s="330" t="s">
        <v>1220</v>
      </c>
      <c r="C156" s="308">
        <v>1</v>
      </c>
      <c r="D156">
        <v>83024900</v>
      </c>
      <c r="E156" s="309">
        <v>723</v>
      </c>
      <c r="F156" s="306">
        <v>723</v>
      </c>
      <c r="G156" t="s">
        <v>1401</v>
      </c>
      <c r="H156" s="78">
        <v>1723</v>
      </c>
    </row>
    <row r="157" spans="1:8" x14ac:dyDescent="0.3">
      <c r="A157" s="31" t="s">
        <v>1185</v>
      </c>
      <c r="B157" s="330" t="s">
        <v>1220</v>
      </c>
      <c r="C157" s="308">
        <v>1</v>
      </c>
      <c r="D157">
        <v>84798999</v>
      </c>
      <c r="E157" s="309">
        <v>10900</v>
      </c>
      <c r="F157" s="306">
        <v>10900</v>
      </c>
      <c r="G157" t="s">
        <v>1401</v>
      </c>
      <c r="H157" s="78">
        <v>1723</v>
      </c>
    </row>
    <row r="158" spans="1:8" x14ac:dyDescent="0.3">
      <c r="A158" s="31" t="s">
        <v>1404</v>
      </c>
      <c r="B158" s="330" t="s">
        <v>1220</v>
      </c>
      <c r="C158" s="308">
        <v>1</v>
      </c>
      <c r="D158">
        <v>72061000</v>
      </c>
      <c r="E158" s="309">
        <v>3280</v>
      </c>
      <c r="F158" s="306">
        <v>3280</v>
      </c>
      <c r="G158" t="s">
        <v>1401</v>
      </c>
      <c r="H158" s="78">
        <v>1723</v>
      </c>
    </row>
    <row r="159" spans="1:8" x14ac:dyDescent="0.3">
      <c r="A159" s="31" t="s">
        <v>1224</v>
      </c>
      <c r="B159" s="330" t="s">
        <v>1220</v>
      </c>
      <c r="C159" s="308">
        <v>1</v>
      </c>
      <c r="D159">
        <v>85261000</v>
      </c>
      <c r="E159" s="309">
        <v>850</v>
      </c>
      <c r="F159" s="306">
        <v>850</v>
      </c>
      <c r="G159" t="s">
        <v>1401</v>
      </c>
      <c r="H159" s="78">
        <v>1723</v>
      </c>
    </row>
    <row r="160" spans="1:8" x14ac:dyDescent="0.3">
      <c r="A160" s="31" t="s">
        <v>1226</v>
      </c>
      <c r="B160" s="330" t="s">
        <v>1220</v>
      </c>
      <c r="C160" s="308">
        <v>1</v>
      </c>
      <c r="D160">
        <v>85423190</v>
      </c>
      <c r="E160" s="309">
        <v>625</v>
      </c>
      <c r="F160" s="306">
        <v>625</v>
      </c>
      <c r="G160" t="s">
        <v>1401</v>
      </c>
      <c r="H160" s="78">
        <v>1723</v>
      </c>
    </row>
    <row r="161" spans="1:8" x14ac:dyDescent="0.3">
      <c r="A161" s="31" t="s">
        <v>1225</v>
      </c>
      <c r="B161" s="330" t="s">
        <v>1220</v>
      </c>
      <c r="C161" s="308">
        <v>1</v>
      </c>
      <c r="D161">
        <v>84798999</v>
      </c>
      <c r="E161" s="309">
        <v>1600</v>
      </c>
      <c r="F161" s="306">
        <v>1600</v>
      </c>
      <c r="G161" t="s">
        <v>1401</v>
      </c>
      <c r="H161" s="78">
        <v>1723</v>
      </c>
    </row>
    <row r="162" spans="1:8" x14ac:dyDescent="0.3">
      <c r="A162" s="31" t="s">
        <v>1186</v>
      </c>
      <c r="B162" s="330" t="s">
        <v>1220</v>
      </c>
      <c r="C162" s="308">
        <v>1</v>
      </c>
      <c r="D162">
        <v>83024900</v>
      </c>
      <c r="E162" s="309">
        <v>450</v>
      </c>
      <c r="F162" s="306">
        <v>450</v>
      </c>
      <c r="G162" t="s">
        <v>1401</v>
      </c>
      <c r="H162" s="78">
        <v>1723</v>
      </c>
    </row>
    <row r="163" spans="1:8" x14ac:dyDescent="0.3">
      <c r="A163" s="31" t="s">
        <v>1279</v>
      </c>
      <c r="B163" s="330" t="s">
        <v>1240</v>
      </c>
      <c r="C163" s="308">
        <v>10.35</v>
      </c>
      <c r="D163">
        <v>70072900</v>
      </c>
      <c r="E163" s="309">
        <v>470</v>
      </c>
      <c r="F163" s="306">
        <v>4864.5</v>
      </c>
      <c r="G163" t="s">
        <v>1401</v>
      </c>
      <c r="H163" s="78">
        <v>1723</v>
      </c>
    </row>
    <row r="164" spans="1:8" x14ac:dyDescent="0.3">
      <c r="A164" s="31" t="s">
        <v>1400</v>
      </c>
      <c r="B164" s="330" t="s">
        <v>1220</v>
      </c>
      <c r="C164" s="308">
        <v>1</v>
      </c>
      <c r="D164">
        <v>39204390</v>
      </c>
      <c r="E164" s="309">
        <v>1229.8</v>
      </c>
      <c r="F164" s="306">
        <v>1229.8</v>
      </c>
      <c r="G164" t="s">
        <v>1265</v>
      </c>
      <c r="H164" s="78">
        <v>1724</v>
      </c>
    </row>
    <row r="165" spans="1:8" x14ac:dyDescent="0.3">
      <c r="A165" s="31" t="s">
        <v>1275</v>
      </c>
      <c r="B165" s="330" t="s">
        <v>1220</v>
      </c>
      <c r="C165" s="308">
        <v>2</v>
      </c>
      <c r="D165">
        <v>85068090</v>
      </c>
      <c r="E165" s="309">
        <v>695.5</v>
      </c>
      <c r="F165" s="306">
        <v>1391</v>
      </c>
      <c r="G165" t="s">
        <v>1398</v>
      </c>
      <c r="H165" s="78">
        <v>1725</v>
      </c>
    </row>
    <row r="166" spans="1:8" x14ac:dyDescent="0.3">
      <c r="A166" s="31" t="s">
        <v>1226</v>
      </c>
      <c r="B166" s="330" t="s">
        <v>1220</v>
      </c>
      <c r="C166" s="308">
        <v>2</v>
      </c>
      <c r="D166">
        <v>85423190</v>
      </c>
      <c r="E166" s="309">
        <v>998</v>
      </c>
      <c r="F166" s="306">
        <v>1996</v>
      </c>
      <c r="G166" t="s">
        <v>1398</v>
      </c>
      <c r="H166" s="78">
        <v>1725</v>
      </c>
    </row>
    <row r="167" spans="1:8" x14ac:dyDescent="0.3">
      <c r="A167" s="31" t="s">
        <v>1397</v>
      </c>
      <c r="B167" s="330" t="s">
        <v>1220</v>
      </c>
      <c r="C167" s="308">
        <v>3</v>
      </c>
      <c r="D167">
        <v>83024900</v>
      </c>
      <c r="E167" s="309">
        <v>746.85</v>
      </c>
      <c r="F167" s="306">
        <v>2240.5500000000002</v>
      </c>
      <c r="G167" t="s">
        <v>1394</v>
      </c>
      <c r="H167" s="78">
        <v>1726</v>
      </c>
    </row>
    <row r="168" spans="1:8" x14ac:dyDescent="0.3">
      <c r="A168" s="31" t="s">
        <v>1391</v>
      </c>
      <c r="B168" s="330" t="s">
        <v>1220</v>
      </c>
      <c r="C168" s="308">
        <v>2</v>
      </c>
      <c r="D168">
        <v>85437099</v>
      </c>
      <c r="E168" s="309">
        <v>2352</v>
      </c>
      <c r="F168" s="306">
        <v>4704</v>
      </c>
      <c r="G168" t="s">
        <v>1394</v>
      </c>
      <c r="H168" s="78">
        <v>1726</v>
      </c>
    </row>
    <row r="169" spans="1:8" x14ac:dyDescent="0.3">
      <c r="A169" s="31" t="s">
        <v>1278</v>
      </c>
      <c r="B169" s="330" t="s">
        <v>1220</v>
      </c>
      <c r="C169" s="308">
        <v>2</v>
      </c>
      <c r="D169">
        <v>85261000</v>
      </c>
      <c r="E169" s="309">
        <v>655</v>
      </c>
      <c r="F169" s="306">
        <v>1310</v>
      </c>
      <c r="G169" t="s">
        <v>1394</v>
      </c>
      <c r="H169" s="78">
        <v>1726</v>
      </c>
    </row>
    <row r="170" spans="1:8" x14ac:dyDescent="0.3">
      <c r="A170" s="31" t="s">
        <v>1227</v>
      </c>
      <c r="B170" s="330" t="s">
        <v>1220</v>
      </c>
      <c r="C170" s="308">
        <v>3</v>
      </c>
      <c r="D170">
        <v>76101000</v>
      </c>
      <c r="E170" s="309">
        <v>481.5</v>
      </c>
      <c r="F170" s="306">
        <v>1444.5</v>
      </c>
      <c r="G170" t="s">
        <v>1394</v>
      </c>
      <c r="H170" s="78">
        <v>1726</v>
      </c>
    </row>
    <row r="171" spans="1:8" x14ac:dyDescent="0.3">
      <c r="A171" s="31" t="s">
        <v>1396</v>
      </c>
      <c r="B171" s="330" t="s">
        <v>1220</v>
      </c>
      <c r="C171" s="308">
        <v>3</v>
      </c>
      <c r="D171">
        <v>83024900</v>
      </c>
      <c r="E171" s="309">
        <v>443.78</v>
      </c>
      <c r="F171" s="306">
        <v>1331.34</v>
      </c>
      <c r="G171" t="s">
        <v>1394</v>
      </c>
      <c r="H171" s="78">
        <v>1726</v>
      </c>
    </row>
    <row r="172" spans="1:8" x14ac:dyDescent="0.3">
      <c r="A172" s="31" t="s">
        <v>1233</v>
      </c>
      <c r="B172" s="330" t="s">
        <v>1220</v>
      </c>
      <c r="C172" s="308">
        <v>2</v>
      </c>
      <c r="D172">
        <v>83024900</v>
      </c>
      <c r="E172" s="309">
        <v>930</v>
      </c>
      <c r="F172" s="306">
        <v>1860</v>
      </c>
      <c r="G172" t="s">
        <v>1394</v>
      </c>
      <c r="H172" s="78">
        <v>1726</v>
      </c>
    </row>
    <row r="173" spans="1:8" x14ac:dyDescent="0.3">
      <c r="A173" s="31" t="s">
        <v>1395</v>
      </c>
      <c r="B173" s="330" t="s">
        <v>1220</v>
      </c>
      <c r="C173" s="308">
        <v>3</v>
      </c>
      <c r="D173">
        <v>84798999</v>
      </c>
      <c r="E173" s="309">
        <v>8367.4</v>
      </c>
      <c r="F173" s="306">
        <v>25102.2</v>
      </c>
      <c r="G173" t="s">
        <v>1394</v>
      </c>
      <c r="H173" s="78">
        <v>1726</v>
      </c>
    </row>
    <row r="174" spans="1:8" x14ac:dyDescent="0.3">
      <c r="A174" s="31" t="s">
        <v>1296</v>
      </c>
      <c r="B174" s="330" t="s">
        <v>1240</v>
      </c>
      <c r="C174" s="308">
        <v>5.85</v>
      </c>
      <c r="D174">
        <v>70072900</v>
      </c>
      <c r="E174" s="309">
        <v>470</v>
      </c>
      <c r="F174" s="306">
        <v>2749.5</v>
      </c>
      <c r="G174" t="s">
        <v>1394</v>
      </c>
      <c r="H174" s="78">
        <v>1726</v>
      </c>
    </row>
    <row r="175" spans="1:8" x14ac:dyDescent="0.3">
      <c r="A175" s="31" t="s">
        <v>1280</v>
      </c>
      <c r="B175" s="330" t="s">
        <v>1220</v>
      </c>
      <c r="C175" s="308">
        <v>1</v>
      </c>
      <c r="D175">
        <v>72163100</v>
      </c>
      <c r="E175" s="309">
        <v>1100</v>
      </c>
      <c r="F175" s="306">
        <v>1100</v>
      </c>
      <c r="G175" t="s">
        <v>1394</v>
      </c>
      <c r="H175" s="78">
        <v>1726</v>
      </c>
    </row>
    <row r="176" spans="1:8" x14ac:dyDescent="0.3">
      <c r="A176" s="31" t="s">
        <v>1391</v>
      </c>
      <c r="B176" s="330" t="s">
        <v>1220</v>
      </c>
      <c r="C176" s="308">
        <v>2</v>
      </c>
      <c r="D176">
        <v>85437099</v>
      </c>
      <c r="E176" s="309">
        <v>2352</v>
      </c>
      <c r="F176" s="306">
        <v>4704</v>
      </c>
      <c r="G176" t="s">
        <v>1394</v>
      </c>
      <c r="H176" s="78">
        <v>1727</v>
      </c>
    </row>
    <row r="177" spans="1:8" x14ac:dyDescent="0.3">
      <c r="A177" s="31" t="s">
        <v>1227</v>
      </c>
      <c r="B177" s="330" t="s">
        <v>1220</v>
      </c>
      <c r="C177" s="308">
        <v>1</v>
      </c>
      <c r="D177">
        <v>76101000</v>
      </c>
      <c r="E177" s="309">
        <v>481.5</v>
      </c>
      <c r="F177" s="306">
        <v>481.5</v>
      </c>
      <c r="G177" t="s">
        <v>1394</v>
      </c>
      <c r="H177" s="78">
        <v>1727</v>
      </c>
    </row>
    <row r="178" spans="1:8" x14ac:dyDescent="0.3">
      <c r="A178" s="31" t="s">
        <v>1290</v>
      </c>
      <c r="B178" s="330" t="s">
        <v>1220</v>
      </c>
      <c r="C178" s="308">
        <v>1</v>
      </c>
      <c r="D178">
        <v>84798999</v>
      </c>
      <c r="E178" s="309">
        <v>9000</v>
      </c>
      <c r="F178" s="306">
        <v>9000</v>
      </c>
      <c r="G178" t="s">
        <v>1394</v>
      </c>
      <c r="H178" s="78">
        <v>1727</v>
      </c>
    </row>
    <row r="179" spans="1:8" x14ac:dyDescent="0.3">
      <c r="A179" s="31" t="s">
        <v>1226</v>
      </c>
      <c r="B179" s="330" t="s">
        <v>1220</v>
      </c>
      <c r="C179" s="308">
        <v>1</v>
      </c>
      <c r="D179">
        <v>85423190</v>
      </c>
      <c r="E179" s="309">
        <v>625</v>
      </c>
      <c r="F179" s="306">
        <v>625</v>
      </c>
      <c r="G179" t="s">
        <v>1394</v>
      </c>
      <c r="H179" s="78">
        <v>1727</v>
      </c>
    </row>
    <row r="180" spans="1:8" x14ac:dyDescent="0.3">
      <c r="A180" s="31" t="s">
        <v>1225</v>
      </c>
      <c r="B180" s="330" t="s">
        <v>1220</v>
      </c>
      <c r="C180" s="308">
        <v>1</v>
      </c>
      <c r="D180">
        <v>84798999</v>
      </c>
      <c r="E180" s="309">
        <v>1600</v>
      </c>
      <c r="F180" s="306">
        <v>1600</v>
      </c>
      <c r="G180" t="s">
        <v>1394</v>
      </c>
      <c r="H180" s="78">
        <v>1727</v>
      </c>
    </row>
    <row r="181" spans="1:8" x14ac:dyDescent="0.3">
      <c r="A181" s="31" t="s">
        <v>1186</v>
      </c>
      <c r="B181" s="330" t="s">
        <v>1220</v>
      </c>
      <c r="C181" s="308">
        <v>1</v>
      </c>
      <c r="D181">
        <v>83024900</v>
      </c>
      <c r="E181" s="309">
        <v>450</v>
      </c>
      <c r="F181" s="306">
        <v>450</v>
      </c>
      <c r="G181" t="s">
        <v>1394</v>
      </c>
      <c r="H181" s="78">
        <v>1727</v>
      </c>
    </row>
    <row r="182" spans="1:8" x14ac:dyDescent="0.3">
      <c r="A182" s="31" t="s">
        <v>1296</v>
      </c>
      <c r="B182" s="330" t="s">
        <v>1240</v>
      </c>
      <c r="C182" s="308">
        <v>2.85</v>
      </c>
      <c r="D182">
        <v>70072900</v>
      </c>
      <c r="E182" s="309">
        <v>470</v>
      </c>
      <c r="F182" s="306">
        <v>1339.5</v>
      </c>
      <c r="G182" t="s">
        <v>1394</v>
      </c>
      <c r="H182" s="78">
        <v>1727</v>
      </c>
    </row>
    <row r="183" spans="1:8" x14ac:dyDescent="0.3">
      <c r="A183" s="31" t="s">
        <v>1381</v>
      </c>
      <c r="B183" s="330" t="s">
        <v>1220</v>
      </c>
      <c r="C183" s="308">
        <v>28</v>
      </c>
      <c r="D183">
        <v>85369090</v>
      </c>
      <c r="E183" s="309">
        <v>655</v>
      </c>
      <c r="F183" s="306">
        <v>18340</v>
      </c>
      <c r="G183" t="s">
        <v>1378</v>
      </c>
      <c r="H183" s="78">
        <v>1728</v>
      </c>
    </row>
    <row r="184" spans="1:8" x14ac:dyDescent="0.3">
      <c r="A184" s="31" t="s">
        <v>1227</v>
      </c>
      <c r="B184" s="330" t="s">
        <v>1220</v>
      </c>
      <c r="C184" s="308">
        <v>1</v>
      </c>
      <c r="D184">
        <v>76101000</v>
      </c>
      <c r="E184" s="309">
        <v>481.5</v>
      </c>
      <c r="F184" s="306">
        <v>481.5</v>
      </c>
      <c r="G184" t="s">
        <v>1378</v>
      </c>
      <c r="H184" s="78">
        <v>1728</v>
      </c>
    </row>
    <row r="185" spans="1:8" x14ac:dyDescent="0.3">
      <c r="A185" s="31" t="s">
        <v>1276</v>
      </c>
      <c r="B185" s="330" t="s">
        <v>1220</v>
      </c>
      <c r="C185" s="308">
        <v>31</v>
      </c>
      <c r="D185">
        <v>83024900</v>
      </c>
      <c r="E185" s="309">
        <v>190.4</v>
      </c>
      <c r="F185" s="306">
        <v>5902.4</v>
      </c>
      <c r="G185" t="s">
        <v>1378</v>
      </c>
      <c r="H185" s="78">
        <v>1728</v>
      </c>
    </row>
    <row r="186" spans="1:8" x14ac:dyDescent="0.3">
      <c r="A186" s="31" t="s">
        <v>1291</v>
      </c>
      <c r="B186" s="330" t="s">
        <v>1220</v>
      </c>
      <c r="C186" s="308">
        <v>25</v>
      </c>
      <c r="D186">
        <v>83024900</v>
      </c>
      <c r="E186" s="309">
        <v>723</v>
      </c>
      <c r="F186" s="306">
        <v>18075</v>
      </c>
      <c r="G186" t="s">
        <v>1378</v>
      </c>
      <c r="H186" s="78">
        <v>1728</v>
      </c>
    </row>
    <row r="187" spans="1:8" x14ac:dyDescent="0.3">
      <c r="A187" s="31" t="s">
        <v>1185</v>
      </c>
      <c r="B187" s="330" t="s">
        <v>1220</v>
      </c>
      <c r="C187" s="308">
        <v>3</v>
      </c>
      <c r="D187">
        <v>84798999</v>
      </c>
      <c r="E187" s="309">
        <v>9800</v>
      </c>
      <c r="F187" s="306">
        <v>29400</v>
      </c>
      <c r="G187" t="s">
        <v>1378</v>
      </c>
      <c r="H187" s="78">
        <v>1728</v>
      </c>
    </row>
    <row r="188" spans="1:8" x14ac:dyDescent="0.3">
      <c r="A188" s="31" t="s">
        <v>1290</v>
      </c>
      <c r="B188" s="330" t="s">
        <v>1220</v>
      </c>
      <c r="C188" s="308">
        <v>25</v>
      </c>
      <c r="D188">
        <v>84798999</v>
      </c>
      <c r="E188" s="309">
        <v>9000</v>
      </c>
      <c r="F188" s="306">
        <v>225000</v>
      </c>
      <c r="G188" t="s">
        <v>1378</v>
      </c>
      <c r="H188" s="78">
        <v>1728</v>
      </c>
    </row>
    <row r="189" spans="1:8" x14ac:dyDescent="0.3">
      <c r="A189" s="31" t="s">
        <v>1274</v>
      </c>
      <c r="B189" s="330" t="s">
        <v>1220</v>
      </c>
      <c r="C189" s="308">
        <v>6</v>
      </c>
      <c r="D189">
        <v>39204900</v>
      </c>
      <c r="E189" s="309">
        <v>190</v>
      </c>
      <c r="F189" s="306">
        <v>1140</v>
      </c>
      <c r="G189" t="s">
        <v>1378</v>
      </c>
      <c r="H189" s="78">
        <v>1728</v>
      </c>
    </row>
    <row r="190" spans="1:8" x14ac:dyDescent="0.3">
      <c r="A190" s="31" t="s">
        <v>1226</v>
      </c>
      <c r="B190" s="330" t="s">
        <v>1220</v>
      </c>
      <c r="C190" s="308">
        <v>28</v>
      </c>
      <c r="D190">
        <v>85423190</v>
      </c>
      <c r="E190" s="309">
        <v>625</v>
      </c>
      <c r="F190" s="306">
        <v>17500</v>
      </c>
      <c r="G190" t="s">
        <v>1378</v>
      </c>
      <c r="H190" s="78">
        <v>1728</v>
      </c>
    </row>
    <row r="191" spans="1:8" x14ac:dyDescent="0.3">
      <c r="A191" s="31" t="s">
        <v>1225</v>
      </c>
      <c r="B191" s="330" t="s">
        <v>1220</v>
      </c>
      <c r="C191" s="308">
        <v>28</v>
      </c>
      <c r="D191">
        <v>84798999</v>
      </c>
      <c r="E191" s="309">
        <v>1600</v>
      </c>
      <c r="F191" s="306">
        <v>44800</v>
      </c>
      <c r="G191" t="s">
        <v>1378</v>
      </c>
      <c r="H191" s="78">
        <v>1728</v>
      </c>
    </row>
    <row r="192" spans="1:8" x14ac:dyDescent="0.3">
      <c r="A192" s="31" t="s">
        <v>1186</v>
      </c>
      <c r="B192" s="330" t="s">
        <v>1220</v>
      </c>
      <c r="C192" s="308">
        <v>28</v>
      </c>
      <c r="D192">
        <v>83024900</v>
      </c>
      <c r="E192" s="309">
        <v>450</v>
      </c>
      <c r="F192" s="306">
        <v>12600</v>
      </c>
      <c r="G192" t="s">
        <v>1378</v>
      </c>
      <c r="H192" s="78">
        <v>1728</v>
      </c>
    </row>
    <row r="193" spans="1:8" x14ac:dyDescent="0.3">
      <c r="A193" s="31" t="s">
        <v>1296</v>
      </c>
      <c r="B193" s="330" t="s">
        <v>1240</v>
      </c>
      <c r="C193" s="308">
        <v>2.9</v>
      </c>
      <c r="D193">
        <v>70072900</v>
      </c>
      <c r="E193" s="309">
        <v>470</v>
      </c>
      <c r="F193" s="306">
        <v>1363</v>
      </c>
      <c r="G193" t="s">
        <v>1378</v>
      </c>
      <c r="H193" s="78">
        <v>1728</v>
      </c>
    </row>
    <row r="194" spans="1:8" x14ac:dyDescent="0.3">
      <c r="A194" s="31" t="s">
        <v>1292</v>
      </c>
      <c r="B194" s="330" t="s">
        <v>1220</v>
      </c>
      <c r="C194" s="308">
        <v>2</v>
      </c>
      <c r="D194">
        <v>76101000</v>
      </c>
      <c r="E194" s="309">
        <v>663.4</v>
      </c>
      <c r="F194" s="306">
        <v>1326.8</v>
      </c>
      <c r="G194" t="s">
        <v>1392</v>
      </c>
      <c r="H194" s="78">
        <v>1729</v>
      </c>
    </row>
    <row r="195" spans="1:8" x14ac:dyDescent="0.3">
      <c r="A195" s="31" t="s">
        <v>1227</v>
      </c>
      <c r="B195" s="330" t="s">
        <v>1220</v>
      </c>
      <c r="C195" s="308">
        <v>2</v>
      </c>
      <c r="D195">
        <v>76101000</v>
      </c>
      <c r="E195" s="309">
        <v>481.5</v>
      </c>
      <c r="F195" s="306">
        <v>963</v>
      </c>
      <c r="G195" t="s">
        <v>1392</v>
      </c>
      <c r="H195" s="78">
        <v>1729</v>
      </c>
    </row>
    <row r="196" spans="1:8" x14ac:dyDescent="0.3">
      <c r="A196" s="31" t="s">
        <v>1185</v>
      </c>
      <c r="B196" s="330" t="s">
        <v>1220</v>
      </c>
      <c r="C196" s="308">
        <v>1</v>
      </c>
      <c r="D196">
        <v>84798999</v>
      </c>
      <c r="E196" s="309">
        <v>9800</v>
      </c>
      <c r="F196" s="306">
        <v>9800</v>
      </c>
      <c r="G196" t="s">
        <v>1392</v>
      </c>
      <c r="H196" s="78">
        <v>1729</v>
      </c>
    </row>
    <row r="197" spans="1:8" x14ac:dyDescent="0.3">
      <c r="A197" s="31" t="s">
        <v>1274</v>
      </c>
      <c r="B197" s="330" t="s">
        <v>1220</v>
      </c>
      <c r="C197" s="308">
        <v>2</v>
      </c>
      <c r="D197">
        <v>39204900</v>
      </c>
      <c r="E197" s="309">
        <v>190</v>
      </c>
      <c r="F197" s="306">
        <v>380</v>
      </c>
      <c r="G197" t="s">
        <v>1392</v>
      </c>
      <c r="H197" s="78">
        <v>1729</v>
      </c>
    </row>
    <row r="198" spans="1:8" x14ac:dyDescent="0.3">
      <c r="A198" s="31" t="s">
        <v>1224</v>
      </c>
      <c r="B198" s="330" t="s">
        <v>1220</v>
      </c>
      <c r="C198" s="308">
        <v>1</v>
      </c>
      <c r="D198">
        <v>85261000</v>
      </c>
      <c r="E198" s="309">
        <v>850</v>
      </c>
      <c r="F198" s="306">
        <v>850</v>
      </c>
      <c r="G198" t="s">
        <v>1392</v>
      </c>
      <c r="H198" s="78">
        <v>1729</v>
      </c>
    </row>
    <row r="199" spans="1:8" x14ac:dyDescent="0.3">
      <c r="A199" s="31" t="s">
        <v>1226</v>
      </c>
      <c r="B199" s="330" t="s">
        <v>1220</v>
      </c>
      <c r="C199" s="308">
        <v>1</v>
      </c>
      <c r="D199">
        <v>85423190</v>
      </c>
      <c r="E199" s="309">
        <v>625</v>
      </c>
      <c r="F199" s="306">
        <v>625</v>
      </c>
      <c r="G199" t="s">
        <v>1392</v>
      </c>
      <c r="H199" s="78">
        <v>1729</v>
      </c>
    </row>
    <row r="200" spans="1:8" x14ac:dyDescent="0.3">
      <c r="A200" s="31" t="s">
        <v>1225</v>
      </c>
      <c r="B200" s="330" t="s">
        <v>1220</v>
      </c>
      <c r="C200" s="308">
        <v>1</v>
      </c>
      <c r="D200">
        <v>84798999</v>
      </c>
      <c r="E200" s="309">
        <v>1600</v>
      </c>
      <c r="F200" s="306">
        <v>1600</v>
      </c>
      <c r="G200" t="s">
        <v>1392</v>
      </c>
      <c r="H200" s="78">
        <v>1729</v>
      </c>
    </row>
    <row r="201" spans="1:8" x14ac:dyDescent="0.3">
      <c r="A201" s="31" t="s">
        <v>1186</v>
      </c>
      <c r="B201" s="330" t="s">
        <v>1220</v>
      </c>
      <c r="C201" s="308">
        <v>1</v>
      </c>
      <c r="D201">
        <v>83024900</v>
      </c>
      <c r="E201" s="309">
        <v>450</v>
      </c>
      <c r="F201" s="306">
        <v>450</v>
      </c>
      <c r="G201" t="s">
        <v>1392</v>
      </c>
      <c r="H201" s="78">
        <v>1729</v>
      </c>
    </row>
    <row r="202" spans="1:8" x14ac:dyDescent="0.3">
      <c r="A202" s="31" t="s">
        <v>1296</v>
      </c>
      <c r="B202" s="330" t="s">
        <v>1240</v>
      </c>
      <c r="C202" s="308">
        <v>11.52</v>
      </c>
      <c r="D202">
        <v>70072900</v>
      </c>
      <c r="E202" s="309">
        <v>470</v>
      </c>
      <c r="F202" s="306">
        <v>5414.4</v>
      </c>
      <c r="G202" t="s">
        <v>1392</v>
      </c>
      <c r="H202" s="78">
        <v>1729</v>
      </c>
    </row>
    <row r="203" spans="1:8" x14ac:dyDescent="0.3">
      <c r="A203" s="31" t="s">
        <v>1391</v>
      </c>
      <c r="B203" s="330" t="s">
        <v>1220</v>
      </c>
      <c r="C203" s="308">
        <v>1</v>
      </c>
      <c r="D203">
        <v>85437099</v>
      </c>
      <c r="E203" s="309">
        <v>2352</v>
      </c>
      <c r="F203" s="306">
        <v>2352</v>
      </c>
      <c r="G203" t="s">
        <v>1390</v>
      </c>
      <c r="H203" s="78">
        <v>1732</v>
      </c>
    </row>
    <row r="204" spans="1:8" x14ac:dyDescent="0.3">
      <c r="A204" s="31" t="s">
        <v>1278</v>
      </c>
      <c r="B204" s="330" t="s">
        <v>1220</v>
      </c>
      <c r="C204" s="308">
        <v>1</v>
      </c>
      <c r="D204">
        <v>85261000</v>
      </c>
      <c r="E204" s="309">
        <v>566</v>
      </c>
      <c r="F204" s="306">
        <v>566</v>
      </c>
      <c r="G204" t="s">
        <v>1390</v>
      </c>
      <c r="H204" s="78">
        <v>1732</v>
      </c>
    </row>
    <row r="205" spans="1:8" x14ac:dyDescent="0.3">
      <c r="A205" s="31" t="s">
        <v>1243</v>
      </c>
      <c r="B205" s="330" t="s">
        <v>1220</v>
      </c>
      <c r="C205" s="308">
        <v>1</v>
      </c>
      <c r="D205">
        <v>76042100</v>
      </c>
      <c r="E205" s="309">
        <v>1980</v>
      </c>
      <c r="F205" s="306">
        <v>1980</v>
      </c>
      <c r="G205" t="s">
        <v>1390</v>
      </c>
      <c r="H205" s="78">
        <v>1732</v>
      </c>
    </row>
    <row r="206" spans="1:8" x14ac:dyDescent="0.3">
      <c r="A206" s="31" t="s">
        <v>1242</v>
      </c>
      <c r="B206" s="330" t="s">
        <v>1220</v>
      </c>
      <c r="C206" s="308">
        <v>1</v>
      </c>
      <c r="D206">
        <v>76042100</v>
      </c>
      <c r="E206" s="309">
        <v>1980</v>
      </c>
      <c r="F206" s="306">
        <v>1980</v>
      </c>
      <c r="G206" t="s">
        <v>1390</v>
      </c>
      <c r="H206" s="78">
        <v>1732</v>
      </c>
    </row>
    <row r="207" spans="1:8" x14ac:dyDescent="0.3">
      <c r="A207" s="31" t="s">
        <v>1291</v>
      </c>
      <c r="B207" s="330" t="s">
        <v>1220</v>
      </c>
      <c r="C207" s="308">
        <v>1</v>
      </c>
      <c r="D207">
        <v>83024900</v>
      </c>
      <c r="E207" s="309">
        <v>723</v>
      </c>
      <c r="F207" s="306">
        <v>723</v>
      </c>
      <c r="G207" t="s">
        <v>1390</v>
      </c>
      <c r="H207" s="78">
        <v>1732</v>
      </c>
    </row>
    <row r="208" spans="1:8" x14ac:dyDescent="0.3">
      <c r="A208" s="31" t="s">
        <v>1290</v>
      </c>
      <c r="B208" s="330" t="s">
        <v>1220</v>
      </c>
      <c r="C208" s="308">
        <v>1</v>
      </c>
      <c r="D208">
        <v>84798999</v>
      </c>
      <c r="E208" s="309">
        <v>9000</v>
      </c>
      <c r="F208" s="306">
        <v>9000</v>
      </c>
      <c r="G208" t="s">
        <v>1390</v>
      </c>
      <c r="H208" s="78">
        <v>1732</v>
      </c>
    </row>
    <row r="209" spans="1:8" x14ac:dyDescent="0.3">
      <c r="A209" s="31" t="s">
        <v>1226</v>
      </c>
      <c r="B209" s="330" t="s">
        <v>1220</v>
      </c>
      <c r="C209" s="308">
        <v>1</v>
      </c>
      <c r="D209">
        <v>85423190</v>
      </c>
      <c r="E209" s="309">
        <v>625</v>
      </c>
      <c r="F209" s="306">
        <v>625</v>
      </c>
      <c r="G209" t="s">
        <v>1390</v>
      </c>
      <c r="H209" s="78">
        <v>1732</v>
      </c>
    </row>
    <row r="210" spans="1:8" x14ac:dyDescent="0.3">
      <c r="A210" s="31" t="s">
        <v>1225</v>
      </c>
      <c r="B210" s="330" t="s">
        <v>1220</v>
      </c>
      <c r="C210" s="308">
        <v>1</v>
      </c>
      <c r="D210">
        <v>84798999</v>
      </c>
      <c r="E210" s="309">
        <v>1600</v>
      </c>
      <c r="F210" s="306">
        <v>1600</v>
      </c>
      <c r="G210" t="s">
        <v>1390</v>
      </c>
      <c r="H210" s="78">
        <v>1732</v>
      </c>
    </row>
    <row r="211" spans="1:8" x14ac:dyDescent="0.3">
      <c r="A211" s="31" t="s">
        <v>1186</v>
      </c>
      <c r="B211" s="330" t="s">
        <v>1220</v>
      </c>
      <c r="C211" s="308">
        <v>1</v>
      </c>
      <c r="D211">
        <v>83024900</v>
      </c>
      <c r="E211" s="309">
        <v>450</v>
      </c>
      <c r="F211" s="306">
        <v>450</v>
      </c>
      <c r="G211" t="s">
        <v>1390</v>
      </c>
      <c r="H211" s="78">
        <v>1732</v>
      </c>
    </row>
    <row r="212" spans="1:8" x14ac:dyDescent="0.3">
      <c r="A212" s="31" t="s">
        <v>1279</v>
      </c>
      <c r="B212" s="330" t="s">
        <v>1240</v>
      </c>
      <c r="C212" s="308">
        <v>6.7</v>
      </c>
      <c r="D212">
        <v>70072900</v>
      </c>
      <c r="E212" s="309">
        <v>470</v>
      </c>
      <c r="F212" s="306">
        <v>3149</v>
      </c>
      <c r="G212" t="s">
        <v>1390</v>
      </c>
      <c r="H212" s="78">
        <v>1732</v>
      </c>
    </row>
    <row r="213" spans="1:8" x14ac:dyDescent="0.3">
      <c r="A213" s="31" t="s">
        <v>1384</v>
      </c>
      <c r="B213" s="330" t="s">
        <v>1220</v>
      </c>
      <c r="C213" s="308">
        <v>2</v>
      </c>
      <c r="D213">
        <v>59031000</v>
      </c>
      <c r="E213" s="309">
        <v>1050</v>
      </c>
      <c r="F213" s="306">
        <v>2100</v>
      </c>
      <c r="G213" t="s">
        <v>1385</v>
      </c>
      <c r="H213" s="78">
        <v>1735</v>
      </c>
    </row>
    <row r="214" spans="1:8" x14ac:dyDescent="0.3">
      <c r="A214" s="31" t="s">
        <v>1384</v>
      </c>
      <c r="B214" s="330" t="s">
        <v>1220</v>
      </c>
      <c r="C214" s="308">
        <v>1</v>
      </c>
      <c r="D214">
        <v>59031000</v>
      </c>
      <c r="E214" s="309">
        <v>2052</v>
      </c>
      <c r="F214" s="306">
        <v>2052</v>
      </c>
      <c r="G214" t="s">
        <v>1385</v>
      </c>
      <c r="H214" s="78">
        <v>1735</v>
      </c>
    </row>
    <row r="215" spans="1:8" x14ac:dyDescent="0.3">
      <c r="A215" s="31" t="s">
        <v>1313</v>
      </c>
      <c r="B215" s="330" t="s">
        <v>1220</v>
      </c>
      <c r="C215" s="308">
        <v>1</v>
      </c>
      <c r="D215">
        <v>39219019</v>
      </c>
      <c r="E215" s="309">
        <v>37512</v>
      </c>
      <c r="F215" s="306">
        <v>37512</v>
      </c>
      <c r="G215" t="s">
        <v>1383</v>
      </c>
      <c r="H215" s="78">
        <v>1736</v>
      </c>
    </row>
    <row r="216" spans="1:8" x14ac:dyDescent="0.3">
      <c r="A216" s="31" t="s">
        <v>1308</v>
      </c>
      <c r="B216" s="330" t="s">
        <v>1220</v>
      </c>
      <c r="C216" s="308">
        <v>2</v>
      </c>
      <c r="D216">
        <v>76042920</v>
      </c>
      <c r="E216" s="309">
        <v>650</v>
      </c>
      <c r="F216" s="306">
        <v>1300</v>
      </c>
      <c r="G216" t="s">
        <v>1382</v>
      </c>
      <c r="H216" s="78">
        <v>1737</v>
      </c>
    </row>
    <row r="217" spans="1:8" x14ac:dyDescent="0.3">
      <c r="A217" s="31" t="s">
        <v>1233</v>
      </c>
      <c r="B217" s="330" t="s">
        <v>1220</v>
      </c>
      <c r="C217" s="308">
        <v>2</v>
      </c>
      <c r="D217">
        <v>83024900</v>
      </c>
      <c r="E217" s="309">
        <v>650.79999999999995</v>
      </c>
      <c r="F217" s="306">
        <v>1301.5999999999999</v>
      </c>
      <c r="G217" t="s">
        <v>1382</v>
      </c>
      <c r="H217" s="78">
        <v>1737</v>
      </c>
    </row>
    <row r="218" spans="1:8" x14ac:dyDescent="0.3">
      <c r="A218" s="31" t="s">
        <v>1230</v>
      </c>
      <c r="B218" s="330" t="s">
        <v>1220</v>
      </c>
      <c r="C218" s="308">
        <v>2</v>
      </c>
      <c r="D218">
        <v>84798999</v>
      </c>
      <c r="E218" s="309">
        <v>8900</v>
      </c>
      <c r="F218" s="306">
        <v>17800</v>
      </c>
      <c r="G218" t="s">
        <v>1382</v>
      </c>
      <c r="H218" s="78">
        <v>1737</v>
      </c>
    </row>
    <row r="219" spans="1:8" x14ac:dyDescent="0.3">
      <c r="A219" s="31" t="s">
        <v>1224</v>
      </c>
      <c r="B219" s="330" t="s">
        <v>1220</v>
      </c>
      <c r="C219" s="308">
        <v>4</v>
      </c>
      <c r="D219">
        <v>85261000</v>
      </c>
      <c r="E219" s="309">
        <v>850</v>
      </c>
      <c r="F219" s="306">
        <v>3400</v>
      </c>
      <c r="G219" t="s">
        <v>1382</v>
      </c>
      <c r="H219" s="78">
        <v>1737</v>
      </c>
    </row>
    <row r="220" spans="1:8" x14ac:dyDescent="0.3">
      <c r="A220" s="31" t="s">
        <v>1231</v>
      </c>
      <c r="B220" s="330" t="s">
        <v>1220</v>
      </c>
      <c r="C220" s="308">
        <v>2</v>
      </c>
      <c r="D220">
        <v>85423190</v>
      </c>
      <c r="E220" s="309">
        <v>751.12</v>
      </c>
      <c r="F220" s="306">
        <v>1502.24</v>
      </c>
      <c r="G220" t="s">
        <v>1382</v>
      </c>
      <c r="H220" s="78">
        <v>1737</v>
      </c>
    </row>
    <row r="221" spans="1:8" x14ac:dyDescent="0.3">
      <c r="A221" s="31" t="s">
        <v>1232</v>
      </c>
      <c r="B221" s="330" t="s">
        <v>1220</v>
      </c>
      <c r="C221" s="308">
        <v>2</v>
      </c>
      <c r="D221">
        <v>83026000</v>
      </c>
      <c r="E221" s="309">
        <v>450</v>
      </c>
      <c r="F221" s="306">
        <v>900</v>
      </c>
      <c r="G221" t="s">
        <v>1382</v>
      </c>
      <c r="H221" s="78">
        <v>1737</v>
      </c>
    </row>
    <row r="222" spans="1:8" x14ac:dyDescent="0.3">
      <c r="A222" s="31" t="s">
        <v>1371</v>
      </c>
      <c r="B222" s="330" t="s">
        <v>1220</v>
      </c>
      <c r="C222" s="308">
        <v>16</v>
      </c>
      <c r="D222">
        <v>84799090</v>
      </c>
      <c r="E222" s="309">
        <v>585</v>
      </c>
      <c r="F222" s="306">
        <v>9360</v>
      </c>
      <c r="G222" t="s">
        <v>444</v>
      </c>
      <c r="H222" s="78">
        <v>1738</v>
      </c>
    </row>
    <row r="223" spans="1:8" x14ac:dyDescent="0.3">
      <c r="A223" s="31" t="s">
        <v>1381</v>
      </c>
      <c r="B223" s="330" t="s">
        <v>1220</v>
      </c>
      <c r="C223" s="308">
        <v>25</v>
      </c>
      <c r="D223">
        <v>85369090</v>
      </c>
      <c r="E223" s="309">
        <v>655</v>
      </c>
      <c r="F223" s="306">
        <v>16375</v>
      </c>
      <c r="G223" t="s">
        <v>1378</v>
      </c>
      <c r="H223" s="78">
        <v>1739</v>
      </c>
    </row>
    <row r="224" spans="1:8" x14ac:dyDescent="0.3">
      <c r="A224" s="31" t="s">
        <v>1379</v>
      </c>
      <c r="B224" s="330" t="s">
        <v>1220</v>
      </c>
      <c r="C224" s="308">
        <v>4</v>
      </c>
      <c r="D224">
        <v>85369090</v>
      </c>
      <c r="E224" s="309">
        <v>655</v>
      </c>
      <c r="F224" s="306">
        <v>2620</v>
      </c>
      <c r="G224" t="s">
        <v>1378</v>
      </c>
      <c r="H224" s="78">
        <v>1740</v>
      </c>
    </row>
    <row r="225" spans="1:8" x14ac:dyDescent="0.3">
      <c r="A225" s="31" t="s">
        <v>1276</v>
      </c>
      <c r="B225" s="330" t="s">
        <v>1220</v>
      </c>
      <c r="C225" s="308">
        <v>7</v>
      </c>
      <c r="D225">
        <v>83024900</v>
      </c>
      <c r="E225" s="309">
        <v>190.4</v>
      </c>
      <c r="F225" s="306">
        <v>1332.8</v>
      </c>
      <c r="G225" t="s">
        <v>1378</v>
      </c>
      <c r="H225" s="78">
        <v>1740</v>
      </c>
    </row>
    <row r="226" spans="1:8" x14ac:dyDescent="0.3">
      <c r="A226" s="31" t="s">
        <v>1185</v>
      </c>
      <c r="B226" s="330" t="s">
        <v>1220</v>
      </c>
      <c r="C226" s="308">
        <v>3</v>
      </c>
      <c r="D226">
        <v>84798999</v>
      </c>
      <c r="E226" s="309">
        <v>10900</v>
      </c>
      <c r="F226" s="306">
        <v>32700</v>
      </c>
      <c r="G226" t="s">
        <v>1378</v>
      </c>
      <c r="H226" s="78">
        <v>1740</v>
      </c>
    </row>
    <row r="227" spans="1:8" x14ac:dyDescent="0.3">
      <c r="A227" s="31" t="s">
        <v>1290</v>
      </c>
      <c r="B227" s="330" t="s">
        <v>1220</v>
      </c>
      <c r="C227" s="308">
        <v>1</v>
      </c>
      <c r="D227">
        <v>84798999</v>
      </c>
      <c r="E227" s="309">
        <v>9000</v>
      </c>
      <c r="F227" s="306">
        <v>9000</v>
      </c>
      <c r="G227" t="s">
        <v>1378</v>
      </c>
      <c r="H227" s="78">
        <v>1740</v>
      </c>
    </row>
    <row r="228" spans="1:8" x14ac:dyDescent="0.3">
      <c r="A228" s="31" t="s">
        <v>1274</v>
      </c>
      <c r="B228" s="330" t="s">
        <v>1220</v>
      </c>
      <c r="C228" s="308">
        <v>6</v>
      </c>
      <c r="D228">
        <v>39204900</v>
      </c>
      <c r="E228" s="309">
        <v>190</v>
      </c>
      <c r="F228" s="306">
        <v>1140</v>
      </c>
      <c r="G228" t="s">
        <v>1378</v>
      </c>
      <c r="H228" s="78">
        <v>1740</v>
      </c>
    </row>
    <row r="229" spans="1:8" x14ac:dyDescent="0.3">
      <c r="A229" s="31" t="s">
        <v>1226</v>
      </c>
      <c r="B229" s="330" t="s">
        <v>1220</v>
      </c>
      <c r="C229" s="308">
        <v>4</v>
      </c>
      <c r="D229">
        <v>85423190</v>
      </c>
      <c r="E229" s="309">
        <v>625</v>
      </c>
      <c r="F229" s="306">
        <v>2500</v>
      </c>
      <c r="G229" t="s">
        <v>1378</v>
      </c>
      <c r="H229" s="78">
        <v>1740</v>
      </c>
    </row>
    <row r="230" spans="1:8" x14ac:dyDescent="0.3">
      <c r="A230" s="31" t="s">
        <v>1225</v>
      </c>
      <c r="B230" s="330" t="s">
        <v>1220</v>
      </c>
      <c r="C230" s="308">
        <v>4</v>
      </c>
      <c r="D230">
        <v>84798999</v>
      </c>
      <c r="E230" s="309">
        <v>1600</v>
      </c>
      <c r="F230" s="306">
        <v>6400</v>
      </c>
      <c r="G230" t="s">
        <v>1378</v>
      </c>
      <c r="H230" s="78">
        <v>1740</v>
      </c>
    </row>
    <row r="231" spans="1:8" x14ac:dyDescent="0.3">
      <c r="A231" s="31" t="s">
        <v>1186</v>
      </c>
      <c r="B231" s="330" t="s">
        <v>1220</v>
      </c>
      <c r="C231" s="308">
        <v>4</v>
      </c>
      <c r="D231">
        <v>83024900</v>
      </c>
      <c r="E231" s="309">
        <v>450</v>
      </c>
      <c r="F231" s="306">
        <v>1800</v>
      </c>
      <c r="G231" t="s">
        <v>1378</v>
      </c>
      <c r="H231" s="78">
        <v>1740</v>
      </c>
    </row>
    <row r="232" spans="1:8" x14ac:dyDescent="0.3">
      <c r="A232" s="31" t="s">
        <v>1227</v>
      </c>
      <c r="B232" s="330" t="s">
        <v>1220</v>
      </c>
      <c r="C232" s="308">
        <v>2</v>
      </c>
      <c r="D232">
        <v>76101000</v>
      </c>
      <c r="E232" s="309">
        <v>481.5</v>
      </c>
      <c r="F232" s="306">
        <v>963</v>
      </c>
      <c r="G232" t="s">
        <v>1375</v>
      </c>
      <c r="H232" s="78">
        <v>1742</v>
      </c>
    </row>
    <row r="233" spans="1:8" x14ac:dyDescent="0.3">
      <c r="A233" s="31" t="s">
        <v>1185</v>
      </c>
      <c r="B233" s="330" t="s">
        <v>1220</v>
      </c>
      <c r="C233" s="308">
        <v>1</v>
      </c>
      <c r="D233">
        <v>84798999</v>
      </c>
      <c r="E233" s="309">
        <v>9800</v>
      </c>
      <c r="F233" s="306">
        <v>9800</v>
      </c>
      <c r="G233" t="s">
        <v>1375</v>
      </c>
      <c r="H233" s="78">
        <v>1742</v>
      </c>
    </row>
    <row r="234" spans="1:8" x14ac:dyDescent="0.3">
      <c r="A234" s="31" t="s">
        <v>1274</v>
      </c>
      <c r="B234" s="330" t="s">
        <v>1220</v>
      </c>
      <c r="C234" s="308">
        <v>2</v>
      </c>
      <c r="D234">
        <v>39204900</v>
      </c>
      <c r="E234" s="309">
        <v>190</v>
      </c>
      <c r="F234" s="306">
        <v>380</v>
      </c>
      <c r="G234" t="s">
        <v>1375</v>
      </c>
      <c r="H234" s="78">
        <v>1742</v>
      </c>
    </row>
    <row r="235" spans="1:8" x14ac:dyDescent="0.3">
      <c r="A235" s="31" t="s">
        <v>1224</v>
      </c>
      <c r="B235" s="330" t="s">
        <v>1220</v>
      </c>
      <c r="C235" s="308">
        <v>1</v>
      </c>
      <c r="D235">
        <v>85261000</v>
      </c>
      <c r="E235" s="309">
        <v>850</v>
      </c>
      <c r="F235" s="306">
        <v>850</v>
      </c>
      <c r="G235" t="s">
        <v>1375</v>
      </c>
      <c r="H235" s="78">
        <v>1742</v>
      </c>
    </row>
    <row r="236" spans="1:8" x14ac:dyDescent="0.3">
      <c r="A236" s="31" t="s">
        <v>1226</v>
      </c>
      <c r="B236" s="330" t="s">
        <v>1220</v>
      </c>
      <c r="C236" s="308">
        <v>1</v>
      </c>
      <c r="D236">
        <v>85423190</v>
      </c>
      <c r="E236" s="309">
        <v>625</v>
      </c>
      <c r="F236" s="306">
        <v>625</v>
      </c>
      <c r="G236" t="s">
        <v>1375</v>
      </c>
      <c r="H236" s="78">
        <v>1742</v>
      </c>
    </row>
    <row r="237" spans="1:8" x14ac:dyDescent="0.3">
      <c r="A237" s="31" t="s">
        <v>1225</v>
      </c>
      <c r="B237" s="330" t="s">
        <v>1220</v>
      </c>
      <c r="C237" s="308">
        <v>1</v>
      </c>
      <c r="D237">
        <v>84798999</v>
      </c>
      <c r="E237" s="309">
        <v>1600</v>
      </c>
      <c r="F237" s="306">
        <v>1600</v>
      </c>
      <c r="G237" t="s">
        <v>1375</v>
      </c>
      <c r="H237" s="78">
        <v>1742</v>
      </c>
    </row>
    <row r="238" spans="1:8" x14ac:dyDescent="0.3">
      <c r="A238" s="31" t="s">
        <v>1186</v>
      </c>
      <c r="B238" s="330" t="s">
        <v>1220</v>
      </c>
      <c r="C238" s="308">
        <v>1</v>
      </c>
      <c r="D238">
        <v>83024900</v>
      </c>
      <c r="E238" s="309">
        <v>450</v>
      </c>
      <c r="F238" s="306">
        <v>450</v>
      </c>
      <c r="G238" t="s">
        <v>1375</v>
      </c>
      <c r="H238" s="78">
        <v>1742</v>
      </c>
    </row>
    <row r="239" spans="1:8" x14ac:dyDescent="0.3">
      <c r="A239" s="31" t="s">
        <v>1296</v>
      </c>
      <c r="B239" s="330" t="s">
        <v>1240</v>
      </c>
      <c r="C239" s="308">
        <v>3.5</v>
      </c>
      <c r="D239">
        <v>70072900</v>
      </c>
      <c r="E239" s="309">
        <v>470</v>
      </c>
      <c r="F239" s="306">
        <v>1645</v>
      </c>
      <c r="G239" t="s">
        <v>1375</v>
      </c>
      <c r="H239" s="78">
        <v>1742</v>
      </c>
    </row>
    <row r="240" spans="1:8" x14ac:dyDescent="0.3">
      <c r="A240" s="31" t="s">
        <v>1561</v>
      </c>
      <c r="B240" s="330" t="s">
        <v>1220</v>
      </c>
      <c r="C240" s="308">
        <v>1</v>
      </c>
      <c r="D240">
        <v>84799090</v>
      </c>
      <c r="E240" s="309">
        <v>6992.2</v>
      </c>
      <c r="F240" s="306">
        <v>6992.2</v>
      </c>
      <c r="G240" t="s">
        <v>1265</v>
      </c>
      <c r="H240" s="78">
        <v>1743</v>
      </c>
    </row>
    <row r="241" spans="1:8" x14ac:dyDescent="0.3">
      <c r="A241" s="31" t="s">
        <v>1561</v>
      </c>
      <c r="B241" s="330" t="s">
        <v>1220</v>
      </c>
      <c r="C241" s="308">
        <v>1</v>
      </c>
      <c r="D241">
        <v>84799090</v>
      </c>
      <c r="E241" s="309">
        <v>6992.2</v>
      </c>
      <c r="F241" s="306">
        <v>6992.2</v>
      </c>
      <c r="G241" t="s">
        <v>1265</v>
      </c>
      <c r="H241" s="78">
        <v>1744</v>
      </c>
    </row>
    <row r="242" spans="1:8" x14ac:dyDescent="0.3">
      <c r="A242" s="31" t="s">
        <v>1313</v>
      </c>
      <c r="B242" s="330" t="s">
        <v>1220</v>
      </c>
      <c r="C242" s="308">
        <v>1</v>
      </c>
      <c r="D242">
        <v>39219019</v>
      </c>
      <c r="E242" s="309">
        <v>26964</v>
      </c>
      <c r="F242" s="306">
        <v>26964</v>
      </c>
      <c r="G242" t="s">
        <v>1562</v>
      </c>
      <c r="H242" s="78">
        <v>1745</v>
      </c>
    </row>
    <row r="243" spans="1:8" x14ac:dyDescent="0.3">
      <c r="A243" s="31" t="s">
        <v>1563</v>
      </c>
      <c r="B243" s="330" t="s">
        <v>1220</v>
      </c>
      <c r="C243" s="308">
        <v>1</v>
      </c>
      <c r="D243">
        <v>73083000</v>
      </c>
      <c r="E243" s="309">
        <v>111600</v>
      </c>
      <c r="F243" s="306">
        <v>111600</v>
      </c>
      <c r="G243" t="s">
        <v>1562</v>
      </c>
      <c r="H243" s="78">
        <v>1746</v>
      </c>
    </row>
    <row r="244" spans="1:8" x14ac:dyDescent="0.3">
      <c r="A244" s="31" t="s">
        <v>1233</v>
      </c>
      <c r="B244" s="330" t="s">
        <v>1220</v>
      </c>
      <c r="C244" s="308">
        <v>1</v>
      </c>
      <c r="D244">
        <v>83024900</v>
      </c>
      <c r="E244" s="309">
        <v>930</v>
      </c>
      <c r="F244" s="306">
        <v>930</v>
      </c>
      <c r="G244" t="s">
        <v>1564</v>
      </c>
      <c r="H244" s="78">
        <v>1747</v>
      </c>
    </row>
    <row r="245" spans="1:8" x14ac:dyDescent="0.3">
      <c r="A245" s="31" t="s">
        <v>1566</v>
      </c>
      <c r="B245" s="330" t="s">
        <v>1220</v>
      </c>
      <c r="C245" s="308">
        <v>1</v>
      </c>
      <c r="D245">
        <v>85308090</v>
      </c>
      <c r="E245" s="309">
        <v>650</v>
      </c>
      <c r="F245" s="306">
        <v>650</v>
      </c>
      <c r="G245" t="s">
        <v>1567</v>
      </c>
      <c r="H245" s="78">
        <v>1749</v>
      </c>
    </row>
    <row r="246" spans="1:8" x14ac:dyDescent="0.3">
      <c r="A246" s="31" t="s">
        <v>1308</v>
      </c>
      <c r="B246" s="330" t="s">
        <v>1220</v>
      </c>
      <c r="C246" s="308">
        <v>1</v>
      </c>
      <c r="D246">
        <v>76042920</v>
      </c>
      <c r="E246" s="309">
        <v>650</v>
      </c>
      <c r="F246" s="306">
        <v>650</v>
      </c>
      <c r="G246" t="s">
        <v>1569</v>
      </c>
      <c r="H246" s="78">
        <v>1750</v>
      </c>
    </row>
    <row r="247" spans="1:8" x14ac:dyDescent="0.3">
      <c r="A247" s="31" t="s">
        <v>1381</v>
      </c>
      <c r="B247" s="330" t="s">
        <v>1220</v>
      </c>
      <c r="C247" s="308">
        <v>1</v>
      </c>
      <c r="D247">
        <v>85369090</v>
      </c>
      <c r="E247" s="309">
        <v>655</v>
      </c>
      <c r="F247" s="306">
        <v>655</v>
      </c>
      <c r="G247" t="s">
        <v>1569</v>
      </c>
      <c r="H247" s="78">
        <v>1750</v>
      </c>
    </row>
    <row r="248" spans="1:8" x14ac:dyDescent="0.3">
      <c r="A248" s="31" t="s">
        <v>1290</v>
      </c>
      <c r="B248" s="330" t="s">
        <v>1220</v>
      </c>
      <c r="C248" s="308">
        <v>1</v>
      </c>
      <c r="D248">
        <v>84798999</v>
      </c>
      <c r="E248" s="309">
        <v>9000</v>
      </c>
      <c r="F248" s="306">
        <v>9000</v>
      </c>
      <c r="G248" t="s">
        <v>1569</v>
      </c>
      <c r="H248" s="78">
        <v>1750</v>
      </c>
    </row>
    <row r="249" spans="1:8" x14ac:dyDescent="0.3">
      <c r="A249" s="31" t="s">
        <v>1224</v>
      </c>
      <c r="B249" s="330" t="s">
        <v>1220</v>
      </c>
      <c r="C249" s="308">
        <v>1</v>
      </c>
      <c r="D249">
        <v>85261000</v>
      </c>
      <c r="E249" s="309">
        <v>850</v>
      </c>
      <c r="F249" s="306">
        <v>850</v>
      </c>
      <c r="G249" t="s">
        <v>1569</v>
      </c>
      <c r="H249" s="78">
        <v>1750</v>
      </c>
    </row>
    <row r="250" spans="1:8" x14ac:dyDescent="0.3">
      <c r="A250" s="31" t="s">
        <v>1226</v>
      </c>
      <c r="B250" s="330" t="s">
        <v>1220</v>
      </c>
      <c r="C250" s="308">
        <v>1</v>
      </c>
      <c r="D250">
        <v>85423190</v>
      </c>
      <c r="E250" s="309">
        <v>625</v>
      </c>
      <c r="F250" s="306">
        <v>625</v>
      </c>
      <c r="G250" t="s">
        <v>1569</v>
      </c>
      <c r="H250" s="78">
        <v>1750</v>
      </c>
    </row>
    <row r="251" spans="1:8" x14ac:dyDescent="0.3">
      <c r="A251" s="31" t="s">
        <v>1225</v>
      </c>
      <c r="B251" s="330" t="s">
        <v>1220</v>
      </c>
      <c r="C251" s="308">
        <v>1</v>
      </c>
      <c r="D251">
        <v>84798999</v>
      </c>
      <c r="E251" s="309">
        <v>1600</v>
      </c>
      <c r="F251" s="306">
        <v>1600</v>
      </c>
      <c r="G251" t="s">
        <v>1569</v>
      </c>
      <c r="H251" s="78">
        <v>1750</v>
      </c>
    </row>
    <row r="252" spans="1:8" x14ac:dyDescent="0.3">
      <c r="A252" s="31" t="s">
        <v>1186</v>
      </c>
      <c r="B252" s="330" t="s">
        <v>1220</v>
      </c>
      <c r="C252" s="308">
        <v>1</v>
      </c>
      <c r="D252">
        <v>83024900</v>
      </c>
      <c r="E252" s="309">
        <v>450</v>
      </c>
      <c r="F252" s="306">
        <v>450</v>
      </c>
      <c r="G252" t="s">
        <v>1569</v>
      </c>
      <c r="H252" s="78">
        <v>1750</v>
      </c>
    </row>
    <row r="253" spans="1:8" x14ac:dyDescent="0.3">
      <c r="A253" s="31" t="s">
        <v>1227</v>
      </c>
      <c r="B253" s="330" t="s">
        <v>1220</v>
      </c>
      <c r="C253" s="308">
        <v>2</v>
      </c>
      <c r="D253">
        <v>76101000</v>
      </c>
      <c r="E253" s="309">
        <v>481.5</v>
      </c>
      <c r="F253" s="306">
        <v>963</v>
      </c>
      <c r="G253" t="s">
        <v>1571</v>
      </c>
      <c r="H253" s="78">
        <v>1751</v>
      </c>
    </row>
    <row r="254" spans="1:8" x14ac:dyDescent="0.3">
      <c r="A254" s="31" t="s">
        <v>1185</v>
      </c>
      <c r="B254" s="330" t="s">
        <v>1220</v>
      </c>
      <c r="C254" s="308">
        <v>1</v>
      </c>
      <c r="D254">
        <v>84798999</v>
      </c>
      <c r="E254" s="309">
        <v>10900</v>
      </c>
      <c r="F254" s="306">
        <v>10900</v>
      </c>
      <c r="G254" t="s">
        <v>1571</v>
      </c>
      <c r="H254" s="78">
        <v>1751</v>
      </c>
    </row>
    <row r="255" spans="1:8" x14ac:dyDescent="0.3">
      <c r="A255" s="31" t="s">
        <v>1274</v>
      </c>
      <c r="B255" s="330" t="s">
        <v>1220</v>
      </c>
      <c r="C255" s="308">
        <v>2</v>
      </c>
      <c r="D255">
        <v>39204900</v>
      </c>
      <c r="E255" s="309">
        <v>190</v>
      </c>
      <c r="F255" s="306">
        <v>380</v>
      </c>
      <c r="G255" t="s">
        <v>1571</v>
      </c>
      <c r="H255" s="78">
        <v>1751</v>
      </c>
    </row>
    <row r="256" spans="1:8" x14ac:dyDescent="0.3">
      <c r="A256" s="31" t="s">
        <v>1404</v>
      </c>
      <c r="B256" s="330" t="s">
        <v>1220</v>
      </c>
      <c r="C256" s="308">
        <v>1</v>
      </c>
      <c r="D256">
        <v>72061000</v>
      </c>
      <c r="E256" s="309">
        <v>1390</v>
      </c>
      <c r="F256" s="306">
        <v>1390</v>
      </c>
      <c r="G256" t="s">
        <v>1571</v>
      </c>
      <c r="H256" s="78">
        <v>1751</v>
      </c>
    </row>
    <row r="257" spans="1:8" x14ac:dyDescent="0.3">
      <c r="A257" s="31" t="s">
        <v>1224</v>
      </c>
      <c r="B257" s="330" t="s">
        <v>1220</v>
      </c>
      <c r="C257" s="308">
        <v>1</v>
      </c>
      <c r="D257">
        <v>85261000</v>
      </c>
      <c r="E257" s="309">
        <v>850</v>
      </c>
      <c r="F257" s="306">
        <v>850</v>
      </c>
      <c r="G257" t="s">
        <v>1571</v>
      </c>
      <c r="H257" s="78">
        <v>1751</v>
      </c>
    </row>
    <row r="258" spans="1:8" x14ac:dyDescent="0.3">
      <c r="A258" s="31" t="s">
        <v>1226</v>
      </c>
      <c r="B258" s="330" t="s">
        <v>1220</v>
      </c>
      <c r="C258" s="308">
        <v>1</v>
      </c>
      <c r="D258">
        <v>85423190</v>
      </c>
      <c r="E258" s="309">
        <v>625</v>
      </c>
      <c r="F258" s="306">
        <v>625</v>
      </c>
      <c r="G258" t="s">
        <v>1571</v>
      </c>
      <c r="H258" s="78">
        <v>1751</v>
      </c>
    </row>
    <row r="259" spans="1:8" x14ac:dyDescent="0.3">
      <c r="A259" s="31" t="s">
        <v>1225</v>
      </c>
      <c r="B259" s="330" t="s">
        <v>1220</v>
      </c>
      <c r="C259" s="308">
        <v>1</v>
      </c>
      <c r="D259">
        <v>84798999</v>
      </c>
      <c r="E259" s="309">
        <v>1600</v>
      </c>
      <c r="F259" s="306">
        <v>1600</v>
      </c>
      <c r="G259" t="s">
        <v>1571</v>
      </c>
      <c r="H259" s="78">
        <v>1751</v>
      </c>
    </row>
    <row r="260" spans="1:8" x14ac:dyDescent="0.3">
      <c r="A260" s="31" t="s">
        <v>1186</v>
      </c>
      <c r="B260" s="330" t="s">
        <v>1220</v>
      </c>
      <c r="C260" s="308">
        <v>1</v>
      </c>
      <c r="D260">
        <v>83024900</v>
      </c>
      <c r="E260" s="309">
        <v>450</v>
      </c>
      <c r="F260" s="306">
        <v>450</v>
      </c>
      <c r="G260" t="s">
        <v>1571</v>
      </c>
      <c r="H260" s="78">
        <v>1751</v>
      </c>
    </row>
    <row r="261" spans="1:8" x14ac:dyDescent="0.3">
      <c r="A261" s="31" t="s">
        <v>1296</v>
      </c>
      <c r="B261" s="330" t="s">
        <v>1240</v>
      </c>
      <c r="C261" s="308">
        <v>3.6</v>
      </c>
      <c r="D261">
        <v>70072900</v>
      </c>
      <c r="E261" s="309">
        <v>470</v>
      </c>
      <c r="F261" s="306">
        <v>1692</v>
      </c>
      <c r="G261" t="s">
        <v>1571</v>
      </c>
      <c r="H261" s="78">
        <v>1751</v>
      </c>
    </row>
    <row r="262" spans="1:8" x14ac:dyDescent="0.3">
      <c r="A262" s="31" t="s">
        <v>1243</v>
      </c>
      <c r="B262" s="330" t="s">
        <v>1220</v>
      </c>
      <c r="C262" s="308">
        <v>2</v>
      </c>
      <c r="D262">
        <v>76042100</v>
      </c>
      <c r="E262" s="309">
        <v>1980</v>
      </c>
      <c r="F262" s="306">
        <v>3960</v>
      </c>
      <c r="G262" t="s">
        <v>1572</v>
      </c>
      <c r="H262" s="78">
        <v>1752</v>
      </c>
    </row>
    <row r="263" spans="1:8" x14ac:dyDescent="0.3">
      <c r="A263" s="31" t="s">
        <v>1242</v>
      </c>
      <c r="B263" s="330" t="s">
        <v>1220</v>
      </c>
      <c r="C263" s="308">
        <v>2</v>
      </c>
      <c r="D263">
        <v>76042100</v>
      </c>
      <c r="E263" s="309">
        <v>1980</v>
      </c>
      <c r="F263" s="306">
        <v>3960</v>
      </c>
      <c r="G263" t="s">
        <v>1572</v>
      </c>
      <c r="H263" s="78">
        <v>1752</v>
      </c>
    </row>
    <row r="264" spans="1:8" x14ac:dyDescent="0.3">
      <c r="A264" s="31" t="s">
        <v>1185</v>
      </c>
      <c r="B264" s="330" t="s">
        <v>1220</v>
      </c>
      <c r="C264" s="308">
        <v>1</v>
      </c>
      <c r="D264">
        <v>84798999</v>
      </c>
      <c r="E264" s="309">
        <v>10900</v>
      </c>
      <c r="F264" s="306">
        <v>10900</v>
      </c>
      <c r="G264" t="s">
        <v>1572</v>
      </c>
      <c r="H264" s="78">
        <v>1752</v>
      </c>
    </row>
    <row r="265" spans="1:8" x14ac:dyDescent="0.3">
      <c r="A265" s="31" t="s">
        <v>1224</v>
      </c>
      <c r="B265" s="330" t="s">
        <v>1220</v>
      </c>
      <c r="C265" s="308">
        <v>1</v>
      </c>
      <c r="D265">
        <v>85261000</v>
      </c>
      <c r="E265" s="309">
        <v>850</v>
      </c>
      <c r="F265" s="306">
        <v>850</v>
      </c>
      <c r="G265" t="s">
        <v>1572</v>
      </c>
      <c r="H265" s="78">
        <v>1752</v>
      </c>
    </row>
    <row r="266" spans="1:8" x14ac:dyDescent="0.3">
      <c r="A266" s="31" t="s">
        <v>1226</v>
      </c>
      <c r="B266" s="330" t="s">
        <v>1220</v>
      </c>
      <c r="C266" s="308">
        <v>1</v>
      </c>
      <c r="D266">
        <v>85423190</v>
      </c>
      <c r="E266" s="309">
        <v>625</v>
      </c>
      <c r="F266" s="306">
        <v>625</v>
      </c>
      <c r="G266" t="s">
        <v>1572</v>
      </c>
      <c r="H266" s="78">
        <v>1752</v>
      </c>
    </row>
    <row r="267" spans="1:8" x14ac:dyDescent="0.3">
      <c r="A267" s="31" t="s">
        <v>1225</v>
      </c>
      <c r="B267" s="330" t="s">
        <v>1220</v>
      </c>
      <c r="C267" s="308">
        <v>1</v>
      </c>
      <c r="D267">
        <v>84798999</v>
      </c>
      <c r="E267" s="309">
        <v>1600</v>
      </c>
      <c r="F267" s="306">
        <v>1600</v>
      </c>
      <c r="G267" t="s">
        <v>1572</v>
      </c>
      <c r="H267" s="78">
        <v>1752</v>
      </c>
    </row>
    <row r="268" spans="1:8" x14ac:dyDescent="0.3">
      <c r="A268" s="31" t="s">
        <v>1186</v>
      </c>
      <c r="B268" s="330" t="s">
        <v>1220</v>
      </c>
      <c r="C268" s="308">
        <v>1</v>
      </c>
      <c r="D268">
        <v>83024900</v>
      </c>
      <c r="E268" s="309">
        <v>450</v>
      </c>
      <c r="F268" s="306">
        <v>450</v>
      </c>
      <c r="G268" t="s">
        <v>1572</v>
      </c>
      <c r="H268" s="78">
        <v>1752</v>
      </c>
    </row>
    <row r="269" spans="1:8" x14ac:dyDescent="0.3">
      <c r="A269" s="31" t="s">
        <v>1244</v>
      </c>
      <c r="B269" s="330" t="s">
        <v>1240</v>
      </c>
      <c r="C269" s="308">
        <v>7.6</v>
      </c>
      <c r="D269">
        <v>70072900</v>
      </c>
      <c r="E269" s="309">
        <v>470</v>
      </c>
      <c r="F269" s="306">
        <v>3572</v>
      </c>
      <c r="G269" t="s">
        <v>1572</v>
      </c>
      <c r="H269" s="78">
        <v>1752</v>
      </c>
    </row>
    <row r="270" spans="1:8" x14ac:dyDescent="0.3">
      <c r="A270" s="31" t="s">
        <v>1280</v>
      </c>
      <c r="B270" s="330" t="s">
        <v>1220</v>
      </c>
      <c r="C270" s="308">
        <v>1</v>
      </c>
      <c r="D270">
        <v>72163100</v>
      </c>
      <c r="E270" s="309">
        <v>1150</v>
      </c>
      <c r="F270" s="306">
        <v>1150</v>
      </c>
      <c r="G270" t="s">
        <v>1572</v>
      </c>
      <c r="H270" s="78">
        <v>1752</v>
      </c>
    </row>
    <row r="271" spans="1:8" x14ac:dyDescent="0.3">
      <c r="A271" s="31" t="s">
        <v>1308</v>
      </c>
      <c r="B271" s="330" t="s">
        <v>1220</v>
      </c>
      <c r="C271" s="308">
        <v>4</v>
      </c>
      <c r="D271">
        <v>76042920</v>
      </c>
      <c r="E271" s="309">
        <v>650</v>
      </c>
      <c r="F271" s="306">
        <v>2600</v>
      </c>
      <c r="G271" t="s">
        <v>1572</v>
      </c>
      <c r="H271" s="78">
        <v>1753</v>
      </c>
    </row>
    <row r="272" spans="1:8" x14ac:dyDescent="0.3">
      <c r="A272" s="31" t="s">
        <v>1185</v>
      </c>
      <c r="B272" s="330" t="s">
        <v>1220</v>
      </c>
      <c r="C272" s="308">
        <v>1</v>
      </c>
      <c r="D272">
        <v>84798999</v>
      </c>
      <c r="E272" s="309">
        <v>10900</v>
      </c>
      <c r="F272" s="306">
        <v>10900</v>
      </c>
      <c r="G272" t="s">
        <v>1572</v>
      </c>
      <c r="H272" s="78">
        <v>1753</v>
      </c>
    </row>
    <row r="273" spans="1:8" x14ac:dyDescent="0.3">
      <c r="A273" s="31" t="s">
        <v>1224</v>
      </c>
      <c r="B273" s="330" t="s">
        <v>1220</v>
      </c>
      <c r="C273" s="308">
        <v>1</v>
      </c>
      <c r="D273">
        <v>85261000</v>
      </c>
      <c r="E273" s="309">
        <v>850</v>
      </c>
      <c r="F273" s="306">
        <v>850</v>
      </c>
      <c r="G273" t="s">
        <v>1572</v>
      </c>
      <c r="H273" s="78">
        <v>1753</v>
      </c>
    </row>
    <row r="274" spans="1:8" x14ac:dyDescent="0.3">
      <c r="A274" s="31" t="s">
        <v>1226</v>
      </c>
      <c r="B274" s="330" t="s">
        <v>1220</v>
      </c>
      <c r="C274" s="308">
        <v>1</v>
      </c>
      <c r="D274">
        <v>85423190</v>
      </c>
      <c r="E274" s="309">
        <v>625</v>
      </c>
      <c r="F274" s="306">
        <v>625</v>
      </c>
      <c r="G274" t="s">
        <v>1572</v>
      </c>
      <c r="H274" s="78">
        <v>1753</v>
      </c>
    </row>
    <row r="275" spans="1:8" x14ac:dyDescent="0.3">
      <c r="A275" s="31" t="s">
        <v>1225</v>
      </c>
      <c r="B275" s="330" t="s">
        <v>1220</v>
      </c>
      <c r="C275" s="308">
        <v>1</v>
      </c>
      <c r="D275">
        <v>84798999</v>
      </c>
      <c r="E275" s="309">
        <v>1600</v>
      </c>
      <c r="F275" s="306">
        <v>1600</v>
      </c>
      <c r="G275" t="s">
        <v>1572</v>
      </c>
      <c r="H275" s="78">
        <v>1753</v>
      </c>
    </row>
    <row r="276" spans="1:8" x14ac:dyDescent="0.3">
      <c r="A276" s="31" t="s">
        <v>1186</v>
      </c>
      <c r="B276" s="330" t="s">
        <v>1220</v>
      </c>
      <c r="C276" s="308">
        <v>1</v>
      </c>
      <c r="D276">
        <v>83024900</v>
      </c>
      <c r="E276" s="309">
        <v>450</v>
      </c>
      <c r="F276" s="306">
        <v>450</v>
      </c>
      <c r="G276" t="s">
        <v>1572</v>
      </c>
      <c r="H276" s="78">
        <v>1753</v>
      </c>
    </row>
    <row r="277" spans="1:8" x14ac:dyDescent="0.3">
      <c r="A277" s="31" t="s">
        <v>1280</v>
      </c>
      <c r="B277" s="330" t="s">
        <v>1220</v>
      </c>
      <c r="C277" s="308">
        <v>1</v>
      </c>
      <c r="D277">
        <v>72163100</v>
      </c>
      <c r="E277" s="309">
        <v>1150</v>
      </c>
      <c r="F277" s="306">
        <v>1150</v>
      </c>
      <c r="G277" t="s">
        <v>1572</v>
      </c>
      <c r="H277" s="78">
        <v>1753</v>
      </c>
    </row>
    <row r="278" spans="1:8" x14ac:dyDescent="0.3">
      <c r="A278" s="31" t="s">
        <v>1574</v>
      </c>
      <c r="B278" s="330" t="s">
        <v>1220</v>
      </c>
      <c r="C278" s="308">
        <v>2</v>
      </c>
      <c r="D278">
        <v>76101000</v>
      </c>
      <c r="E278" s="309">
        <v>3494</v>
      </c>
      <c r="F278" s="306">
        <v>6988</v>
      </c>
      <c r="G278" t="s">
        <v>1572</v>
      </c>
      <c r="H278" s="78">
        <v>1754</v>
      </c>
    </row>
    <row r="279" spans="1:8" x14ac:dyDescent="0.3">
      <c r="A279" s="31" t="s">
        <v>1573</v>
      </c>
      <c r="B279" s="330" t="s">
        <v>1220</v>
      </c>
      <c r="C279" s="308">
        <v>2</v>
      </c>
      <c r="D279">
        <v>76101000</v>
      </c>
      <c r="E279" s="309">
        <v>3006.7</v>
      </c>
      <c r="F279" s="306">
        <v>6013.4</v>
      </c>
      <c r="G279" t="s">
        <v>1572</v>
      </c>
      <c r="H279" s="78">
        <v>1754</v>
      </c>
    </row>
    <row r="280" spans="1:8" x14ac:dyDescent="0.3">
      <c r="A280" s="31" t="s">
        <v>1249</v>
      </c>
      <c r="B280" s="330" t="s">
        <v>1220</v>
      </c>
      <c r="C280" s="308">
        <v>1</v>
      </c>
      <c r="D280">
        <v>84798999</v>
      </c>
      <c r="E280" s="309">
        <v>14900</v>
      </c>
      <c r="F280" s="306">
        <v>14900</v>
      </c>
      <c r="G280" t="s">
        <v>1572</v>
      </c>
      <c r="H280" s="78">
        <v>1754</v>
      </c>
    </row>
    <row r="281" spans="1:8" x14ac:dyDescent="0.3">
      <c r="A281" s="31" t="s">
        <v>1576</v>
      </c>
      <c r="B281" s="330" t="s">
        <v>1220</v>
      </c>
      <c r="C281" s="308">
        <v>1</v>
      </c>
      <c r="D281">
        <v>76042920</v>
      </c>
      <c r="E281" s="309">
        <v>834</v>
      </c>
      <c r="F281" s="306">
        <v>834</v>
      </c>
      <c r="G281" t="s">
        <v>1572</v>
      </c>
      <c r="H281" s="78">
        <v>1754</v>
      </c>
    </row>
    <row r="282" spans="1:8" x14ac:dyDescent="0.3">
      <c r="A282" s="31" t="s">
        <v>1575</v>
      </c>
      <c r="B282" s="330" t="s">
        <v>1220</v>
      </c>
      <c r="C282" s="308">
        <v>1</v>
      </c>
      <c r="D282">
        <v>76042920</v>
      </c>
      <c r="E282" s="309">
        <v>834</v>
      </c>
      <c r="F282" s="306">
        <v>834</v>
      </c>
      <c r="G282" t="s">
        <v>1572</v>
      </c>
      <c r="H282" s="78">
        <v>1754</v>
      </c>
    </row>
    <row r="283" spans="1:8" x14ac:dyDescent="0.3">
      <c r="A283" s="31" t="s">
        <v>1224</v>
      </c>
      <c r="B283" s="330" t="s">
        <v>1220</v>
      </c>
      <c r="C283" s="308">
        <v>1</v>
      </c>
      <c r="D283">
        <v>85261000</v>
      </c>
      <c r="E283" s="309">
        <v>850</v>
      </c>
      <c r="F283" s="306">
        <v>850</v>
      </c>
      <c r="G283" t="s">
        <v>1572</v>
      </c>
      <c r="H283" s="78">
        <v>1754</v>
      </c>
    </row>
    <row r="284" spans="1:8" x14ac:dyDescent="0.3">
      <c r="A284" s="31" t="s">
        <v>1226</v>
      </c>
      <c r="B284" s="330" t="s">
        <v>1220</v>
      </c>
      <c r="C284" s="308">
        <v>1</v>
      </c>
      <c r="D284">
        <v>85423190</v>
      </c>
      <c r="E284" s="309">
        <v>625</v>
      </c>
      <c r="F284" s="306">
        <v>625</v>
      </c>
      <c r="G284" t="s">
        <v>1572</v>
      </c>
      <c r="H284" s="78">
        <v>1754</v>
      </c>
    </row>
    <row r="285" spans="1:8" x14ac:dyDescent="0.3">
      <c r="A285" s="31" t="s">
        <v>1225</v>
      </c>
      <c r="B285" s="330" t="s">
        <v>1220</v>
      </c>
      <c r="C285" s="308">
        <v>1</v>
      </c>
      <c r="D285">
        <v>84798999</v>
      </c>
      <c r="E285" s="309">
        <v>1600</v>
      </c>
      <c r="F285" s="306">
        <v>1600</v>
      </c>
      <c r="G285" t="s">
        <v>1572</v>
      </c>
      <c r="H285" s="78">
        <v>1754</v>
      </c>
    </row>
    <row r="286" spans="1:8" x14ac:dyDescent="0.3">
      <c r="A286" s="31" t="s">
        <v>1223</v>
      </c>
      <c r="B286" s="330" t="s">
        <v>1220</v>
      </c>
      <c r="C286" s="308">
        <v>1</v>
      </c>
      <c r="D286">
        <v>83024900</v>
      </c>
      <c r="E286" s="309">
        <v>642</v>
      </c>
      <c r="F286" s="306">
        <v>642</v>
      </c>
      <c r="G286" t="s">
        <v>1572</v>
      </c>
      <c r="H286" s="78">
        <v>1754</v>
      </c>
    </row>
    <row r="287" spans="1:8" x14ac:dyDescent="0.3">
      <c r="A287" s="31" t="s">
        <v>1280</v>
      </c>
      <c r="B287" s="330" t="s">
        <v>1220</v>
      </c>
      <c r="C287" s="308">
        <v>1</v>
      </c>
      <c r="D287">
        <v>72163100</v>
      </c>
      <c r="E287" s="309">
        <v>1150</v>
      </c>
      <c r="F287" s="306">
        <v>1150</v>
      </c>
      <c r="G287" t="s">
        <v>1572</v>
      </c>
      <c r="H287" s="78">
        <v>1754</v>
      </c>
    </row>
    <row r="288" spans="1:8" x14ac:dyDescent="0.3">
      <c r="A288" s="31" t="s">
        <v>1578</v>
      </c>
      <c r="B288" s="330" t="s">
        <v>1220</v>
      </c>
      <c r="C288" s="308">
        <v>2</v>
      </c>
      <c r="D288">
        <v>76101000</v>
      </c>
      <c r="E288" s="309">
        <v>1262.5999999999999</v>
      </c>
      <c r="F288" s="306">
        <v>2525.1999999999998</v>
      </c>
      <c r="G288" t="s">
        <v>1572</v>
      </c>
      <c r="H288" s="78">
        <v>1755</v>
      </c>
    </row>
    <row r="289" spans="1:8" x14ac:dyDescent="0.3">
      <c r="A289" s="31" t="s">
        <v>1577</v>
      </c>
      <c r="B289" s="330" t="s">
        <v>1220</v>
      </c>
      <c r="C289" s="308">
        <v>4</v>
      </c>
      <c r="D289">
        <v>76101000</v>
      </c>
      <c r="E289" s="309">
        <v>1262.5999999999999</v>
      </c>
      <c r="F289" s="306">
        <v>5050.3999999999996</v>
      </c>
      <c r="G289" t="s">
        <v>1572</v>
      </c>
      <c r="H289" s="78">
        <v>1755</v>
      </c>
    </row>
    <row r="290" spans="1:8" x14ac:dyDescent="0.3">
      <c r="A290" s="31" t="s">
        <v>1579</v>
      </c>
      <c r="B290" s="330" t="s">
        <v>1220</v>
      </c>
      <c r="C290" s="308">
        <v>1</v>
      </c>
      <c r="D290">
        <v>84798999</v>
      </c>
      <c r="E290" s="309">
        <v>4900</v>
      </c>
      <c r="F290" s="306">
        <v>4900</v>
      </c>
      <c r="G290" t="s">
        <v>1572</v>
      </c>
      <c r="H290" s="78">
        <v>1755</v>
      </c>
    </row>
    <row r="291" spans="1:8" x14ac:dyDescent="0.3">
      <c r="A291" s="31" t="s">
        <v>1249</v>
      </c>
      <c r="B291" s="330" t="s">
        <v>1220</v>
      </c>
      <c r="C291" s="308">
        <v>1</v>
      </c>
      <c r="D291">
        <v>84798999</v>
      </c>
      <c r="E291" s="309">
        <v>14900</v>
      </c>
      <c r="F291" s="306">
        <v>14900</v>
      </c>
      <c r="G291" t="s">
        <v>1572</v>
      </c>
      <c r="H291" s="78">
        <v>1755</v>
      </c>
    </row>
    <row r="292" spans="1:8" x14ac:dyDescent="0.3">
      <c r="A292" s="31" t="s">
        <v>1224</v>
      </c>
      <c r="B292" s="330" t="s">
        <v>1220</v>
      </c>
      <c r="C292" s="308">
        <v>1</v>
      </c>
      <c r="D292">
        <v>85261000</v>
      </c>
      <c r="E292" s="309">
        <v>850</v>
      </c>
      <c r="F292" s="306">
        <v>850</v>
      </c>
      <c r="G292" t="s">
        <v>1572</v>
      </c>
      <c r="H292" s="78">
        <v>1755</v>
      </c>
    </row>
    <row r="293" spans="1:8" x14ac:dyDescent="0.3">
      <c r="A293" s="31" t="s">
        <v>1226</v>
      </c>
      <c r="B293" s="330" t="s">
        <v>1220</v>
      </c>
      <c r="C293" s="308">
        <v>1</v>
      </c>
      <c r="D293">
        <v>85423190</v>
      </c>
      <c r="E293" s="309">
        <v>625</v>
      </c>
      <c r="F293" s="306">
        <v>625</v>
      </c>
      <c r="G293" t="s">
        <v>1572</v>
      </c>
      <c r="H293" s="78">
        <v>1755</v>
      </c>
    </row>
    <row r="294" spans="1:8" x14ac:dyDescent="0.3">
      <c r="A294" s="31" t="s">
        <v>1225</v>
      </c>
      <c r="B294" s="330" t="s">
        <v>1220</v>
      </c>
      <c r="C294" s="308">
        <v>1</v>
      </c>
      <c r="D294">
        <v>84798999</v>
      </c>
      <c r="E294" s="309">
        <v>1600</v>
      </c>
      <c r="F294" s="306">
        <v>1600</v>
      </c>
      <c r="G294" t="s">
        <v>1572</v>
      </c>
      <c r="H294" s="78">
        <v>1755</v>
      </c>
    </row>
    <row r="295" spans="1:8" x14ac:dyDescent="0.3">
      <c r="A295" s="31" t="s">
        <v>1223</v>
      </c>
      <c r="B295" s="330" t="s">
        <v>1220</v>
      </c>
      <c r="C295" s="308">
        <v>1</v>
      </c>
      <c r="D295">
        <v>83024900</v>
      </c>
      <c r="E295" s="309">
        <v>642</v>
      </c>
      <c r="F295" s="306">
        <v>642</v>
      </c>
      <c r="G295" t="s">
        <v>1572</v>
      </c>
      <c r="H295" s="78">
        <v>1755</v>
      </c>
    </row>
    <row r="296" spans="1:8" x14ac:dyDescent="0.3">
      <c r="A296" s="31" t="s">
        <v>1280</v>
      </c>
      <c r="B296" s="330" t="s">
        <v>1220</v>
      </c>
      <c r="C296" s="308">
        <v>1</v>
      </c>
      <c r="D296">
        <v>72163100</v>
      </c>
      <c r="E296" s="309">
        <v>1150</v>
      </c>
      <c r="F296" s="306">
        <v>1150</v>
      </c>
      <c r="G296" t="s">
        <v>1572</v>
      </c>
      <c r="H296" s="78">
        <v>1755</v>
      </c>
    </row>
    <row r="297" spans="1:8" x14ac:dyDescent="0.3">
      <c r="A297" s="31" t="s">
        <v>1584</v>
      </c>
      <c r="B297" s="330" t="s">
        <v>1581</v>
      </c>
      <c r="C297" s="308">
        <v>1</v>
      </c>
      <c r="D297">
        <v>85364100</v>
      </c>
      <c r="E297" s="309">
        <v>176.36</v>
      </c>
      <c r="F297" s="306">
        <v>176.36</v>
      </c>
      <c r="G297" t="s">
        <v>1582</v>
      </c>
      <c r="H297" s="78">
        <v>1757</v>
      </c>
    </row>
    <row r="298" spans="1:8" x14ac:dyDescent="0.3">
      <c r="A298" s="31" t="s">
        <v>1583</v>
      </c>
      <c r="B298" s="330" t="s">
        <v>1220</v>
      </c>
      <c r="C298" s="308">
        <v>1</v>
      </c>
      <c r="D298">
        <v>85437099</v>
      </c>
      <c r="E298" s="309">
        <v>837.89</v>
      </c>
      <c r="F298" s="306">
        <v>837.89</v>
      </c>
      <c r="G298" t="s">
        <v>1582</v>
      </c>
      <c r="H298" s="78">
        <v>1757</v>
      </c>
    </row>
    <row r="299" spans="1:8" x14ac:dyDescent="0.3">
      <c r="A299" s="31" t="s">
        <v>1308</v>
      </c>
      <c r="B299" s="330" t="s">
        <v>1220</v>
      </c>
      <c r="C299" s="308">
        <v>2</v>
      </c>
      <c r="D299">
        <v>76042920</v>
      </c>
      <c r="E299" s="309">
        <v>650</v>
      </c>
      <c r="F299" s="306">
        <v>1300</v>
      </c>
      <c r="G299" t="s">
        <v>1585</v>
      </c>
      <c r="H299" s="78">
        <v>1758</v>
      </c>
    </row>
    <row r="300" spans="1:8" x14ac:dyDescent="0.3">
      <c r="A300" s="31" t="s">
        <v>1185</v>
      </c>
      <c r="B300" s="330" t="s">
        <v>1220</v>
      </c>
      <c r="C300" s="308">
        <v>1</v>
      </c>
      <c r="D300">
        <v>84798999</v>
      </c>
      <c r="E300" s="309">
        <v>10900</v>
      </c>
      <c r="F300" s="306">
        <v>10900</v>
      </c>
      <c r="G300" t="s">
        <v>1585</v>
      </c>
      <c r="H300" s="78">
        <v>1758</v>
      </c>
    </row>
    <row r="301" spans="1:8" x14ac:dyDescent="0.3">
      <c r="A301" s="31" t="s">
        <v>1224</v>
      </c>
      <c r="B301" s="330" t="s">
        <v>1220</v>
      </c>
      <c r="C301" s="308">
        <v>1</v>
      </c>
      <c r="D301">
        <v>85261000</v>
      </c>
      <c r="E301" s="309">
        <v>850</v>
      </c>
      <c r="F301" s="306">
        <v>850</v>
      </c>
      <c r="G301" t="s">
        <v>1585</v>
      </c>
      <c r="H301" s="78">
        <v>1758</v>
      </c>
    </row>
    <row r="302" spans="1:8" x14ac:dyDescent="0.3">
      <c r="A302" s="31" t="s">
        <v>1226</v>
      </c>
      <c r="B302" s="330" t="s">
        <v>1220</v>
      </c>
      <c r="C302" s="308">
        <v>1</v>
      </c>
      <c r="D302">
        <v>85423190</v>
      </c>
      <c r="E302" s="309">
        <v>625</v>
      </c>
      <c r="F302" s="306">
        <v>625</v>
      </c>
      <c r="G302" t="s">
        <v>1585</v>
      </c>
      <c r="H302" s="78">
        <v>1758</v>
      </c>
    </row>
    <row r="303" spans="1:8" x14ac:dyDescent="0.3">
      <c r="A303" s="31" t="s">
        <v>1225</v>
      </c>
      <c r="B303" s="330" t="s">
        <v>1220</v>
      </c>
      <c r="C303" s="308">
        <v>1</v>
      </c>
      <c r="D303">
        <v>84798999</v>
      </c>
      <c r="E303" s="309">
        <v>1600</v>
      </c>
      <c r="F303" s="306">
        <v>1600</v>
      </c>
      <c r="G303" t="s">
        <v>1585</v>
      </c>
      <c r="H303" s="78">
        <v>1758</v>
      </c>
    </row>
    <row r="304" spans="1:8" x14ac:dyDescent="0.3">
      <c r="A304" s="31" t="s">
        <v>1186</v>
      </c>
      <c r="B304" s="330" t="s">
        <v>1220</v>
      </c>
      <c r="C304" s="308">
        <v>1</v>
      </c>
      <c r="D304">
        <v>83024900</v>
      </c>
      <c r="E304" s="309">
        <v>450</v>
      </c>
      <c r="F304" s="306">
        <v>450</v>
      </c>
      <c r="G304" t="s">
        <v>1585</v>
      </c>
      <c r="H304" s="78">
        <v>1758</v>
      </c>
    </row>
    <row r="305" spans="1:8" x14ac:dyDescent="0.3">
      <c r="A305" s="31" t="s">
        <v>1587</v>
      </c>
      <c r="B305" s="330" t="s">
        <v>1220</v>
      </c>
      <c r="C305" s="308">
        <v>2</v>
      </c>
      <c r="D305">
        <v>85437099</v>
      </c>
      <c r="E305" s="309">
        <v>5850</v>
      </c>
      <c r="F305" s="306">
        <v>11700</v>
      </c>
      <c r="G305" t="s">
        <v>1586</v>
      </c>
      <c r="H305" s="78">
        <v>1759</v>
      </c>
    </row>
    <row r="306" spans="1:8" x14ac:dyDescent="0.3">
      <c r="A306" s="31" t="s">
        <v>1227</v>
      </c>
      <c r="B306" s="330" t="s">
        <v>1220</v>
      </c>
      <c r="C306" s="308">
        <v>1</v>
      </c>
      <c r="D306">
        <v>76101000</v>
      </c>
      <c r="E306" s="309">
        <v>481.5</v>
      </c>
      <c r="F306" s="306">
        <v>481.5</v>
      </c>
      <c r="G306" t="s">
        <v>1586</v>
      </c>
      <c r="H306" s="78">
        <v>1759</v>
      </c>
    </row>
    <row r="307" spans="1:8" x14ac:dyDescent="0.3">
      <c r="A307" s="31" t="s">
        <v>1290</v>
      </c>
      <c r="B307" s="330" t="s">
        <v>1220</v>
      </c>
      <c r="C307" s="308">
        <v>1</v>
      </c>
      <c r="D307">
        <v>84798999</v>
      </c>
      <c r="E307" s="309">
        <v>9000</v>
      </c>
      <c r="F307" s="306">
        <v>9000</v>
      </c>
      <c r="G307" t="s">
        <v>1586</v>
      </c>
      <c r="H307" s="78">
        <v>1759</v>
      </c>
    </row>
    <row r="308" spans="1:8" x14ac:dyDescent="0.3">
      <c r="A308" s="31" t="s">
        <v>1226</v>
      </c>
      <c r="B308" s="330" t="s">
        <v>1220</v>
      </c>
      <c r="C308" s="308">
        <v>1</v>
      </c>
      <c r="D308">
        <v>85423190</v>
      </c>
      <c r="E308" s="309">
        <v>625</v>
      </c>
      <c r="F308" s="306">
        <v>625</v>
      </c>
      <c r="G308" t="s">
        <v>1586</v>
      </c>
      <c r="H308" s="78">
        <v>1759</v>
      </c>
    </row>
    <row r="309" spans="1:8" x14ac:dyDescent="0.3">
      <c r="A309" s="31" t="s">
        <v>1225</v>
      </c>
      <c r="B309" s="330" t="s">
        <v>1220</v>
      </c>
      <c r="C309" s="308">
        <v>1</v>
      </c>
      <c r="D309">
        <v>84798999</v>
      </c>
      <c r="E309" s="309">
        <v>1600</v>
      </c>
      <c r="F309" s="306">
        <v>1600</v>
      </c>
      <c r="G309" t="s">
        <v>1586</v>
      </c>
      <c r="H309" s="78">
        <v>1759</v>
      </c>
    </row>
    <row r="310" spans="1:8" x14ac:dyDescent="0.3">
      <c r="A310" s="31" t="s">
        <v>1186</v>
      </c>
      <c r="B310" s="330" t="s">
        <v>1220</v>
      </c>
      <c r="C310" s="308">
        <v>1</v>
      </c>
      <c r="D310">
        <v>83024900</v>
      </c>
      <c r="E310" s="309">
        <v>450</v>
      </c>
      <c r="F310" s="306">
        <v>450</v>
      </c>
      <c r="G310" t="s">
        <v>1586</v>
      </c>
      <c r="H310" s="78">
        <v>1759</v>
      </c>
    </row>
    <row r="311" spans="1:8" x14ac:dyDescent="0.3">
      <c r="A311" s="31" t="s">
        <v>1296</v>
      </c>
      <c r="B311" s="330" t="s">
        <v>1240</v>
      </c>
      <c r="C311" s="308">
        <v>2.2999999999999998</v>
      </c>
      <c r="D311">
        <v>70072900</v>
      </c>
      <c r="E311" s="309">
        <v>470</v>
      </c>
      <c r="F311" s="306">
        <v>1081</v>
      </c>
      <c r="G311" t="s">
        <v>1586</v>
      </c>
      <c r="H311" s="78">
        <v>1759</v>
      </c>
    </row>
    <row r="312" spans="1:8" x14ac:dyDescent="0.3">
      <c r="A312" s="31" t="s">
        <v>1285</v>
      </c>
      <c r="B312" s="330" t="s">
        <v>1220</v>
      </c>
      <c r="C312" s="308">
        <v>8</v>
      </c>
      <c r="D312">
        <v>39219019</v>
      </c>
      <c r="E312" s="309">
        <v>65600</v>
      </c>
      <c r="F312" s="306">
        <v>524800</v>
      </c>
      <c r="G312" t="s">
        <v>1589</v>
      </c>
      <c r="H312" s="78">
        <v>1760</v>
      </c>
    </row>
    <row r="313" spans="1:8" x14ac:dyDescent="0.3">
      <c r="A313" s="31" t="s">
        <v>1292</v>
      </c>
      <c r="B313" s="330" t="s">
        <v>1220</v>
      </c>
      <c r="C313" s="308">
        <v>1</v>
      </c>
      <c r="D313">
        <v>76101000</v>
      </c>
      <c r="E313" s="309">
        <v>663.4</v>
      </c>
      <c r="F313" s="306">
        <v>663.4</v>
      </c>
      <c r="G313" t="s">
        <v>436</v>
      </c>
      <c r="H313" s="78">
        <v>1761</v>
      </c>
    </row>
    <row r="314" spans="1:8" x14ac:dyDescent="0.3">
      <c r="A314" s="31" t="s">
        <v>1227</v>
      </c>
      <c r="B314" s="330" t="s">
        <v>1220</v>
      </c>
      <c r="C314" s="308">
        <v>1</v>
      </c>
      <c r="D314">
        <v>76101000</v>
      </c>
      <c r="E314" s="309">
        <v>481.5</v>
      </c>
      <c r="F314" s="306">
        <v>481.5</v>
      </c>
      <c r="G314" t="s">
        <v>436</v>
      </c>
      <c r="H314" s="78">
        <v>1761</v>
      </c>
    </row>
    <row r="315" spans="1:8" x14ac:dyDescent="0.3">
      <c r="A315" s="31" t="s">
        <v>1290</v>
      </c>
      <c r="B315" s="330" t="s">
        <v>1220</v>
      </c>
      <c r="C315" s="308">
        <v>1</v>
      </c>
      <c r="D315">
        <v>84798999</v>
      </c>
      <c r="E315" s="309">
        <v>9000</v>
      </c>
      <c r="F315" s="306">
        <v>9000</v>
      </c>
      <c r="G315" t="s">
        <v>436</v>
      </c>
      <c r="H315" s="78">
        <v>1761</v>
      </c>
    </row>
    <row r="316" spans="1:8" x14ac:dyDescent="0.3">
      <c r="A316" s="31" t="s">
        <v>1224</v>
      </c>
      <c r="B316" s="330" t="s">
        <v>1220</v>
      </c>
      <c r="C316" s="308">
        <v>1</v>
      </c>
      <c r="D316">
        <v>85261000</v>
      </c>
      <c r="E316" s="309">
        <v>850</v>
      </c>
      <c r="F316" s="306">
        <v>850</v>
      </c>
      <c r="G316" t="s">
        <v>436</v>
      </c>
      <c r="H316" s="78">
        <v>1761</v>
      </c>
    </row>
    <row r="317" spans="1:8" x14ac:dyDescent="0.3">
      <c r="A317" s="31" t="s">
        <v>1226</v>
      </c>
      <c r="B317" s="330" t="s">
        <v>1220</v>
      </c>
      <c r="C317" s="308">
        <v>1</v>
      </c>
      <c r="D317">
        <v>85423190</v>
      </c>
      <c r="E317" s="309">
        <v>625</v>
      </c>
      <c r="F317" s="306">
        <v>625</v>
      </c>
      <c r="G317" t="s">
        <v>436</v>
      </c>
      <c r="H317" s="78">
        <v>1761</v>
      </c>
    </row>
    <row r="318" spans="1:8" x14ac:dyDescent="0.3">
      <c r="A318" s="31" t="s">
        <v>1225</v>
      </c>
      <c r="B318" s="330" t="s">
        <v>1220</v>
      </c>
      <c r="C318" s="308">
        <v>1</v>
      </c>
      <c r="D318">
        <v>84798999</v>
      </c>
      <c r="E318" s="309">
        <v>1600</v>
      </c>
      <c r="F318" s="306">
        <v>1600</v>
      </c>
      <c r="G318" t="s">
        <v>436</v>
      </c>
      <c r="H318" s="78">
        <v>1761</v>
      </c>
    </row>
    <row r="319" spans="1:8" x14ac:dyDescent="0.3">
      <c r="A319" s="31" t="s">
        <v>1186</v>
      </c>
      <c r="B319" s="330" t="s">
        <v>1220</v>
      </c>
      <c r="C319" s="308">
        <v>1</v>
      </c>
      <c r="D319">
        <v>83024900</v>
      </c>
      <c r="E319" s="309">
        <v>450</v>
      </c>
      <c r="F319" s="306">
        <v>450</v>
      </c>
      <c r="G319" t="s">
        <v>436</v>
      </c>
      <c r="H319" s="78">
        <v>1761</v>
      </c>
    </row>
    <row r="320" spans="1:8" x14ac:dyDescent="0.3">
      <c r="A320" s="31" t="s">
        <v>1279</v>
      </c>
      <c r="B320" s="330" t="s">
        <v>1240</v>
      </c>
      <c r="C320" s="308">
        <v>5.8</v>
      </c>
      <c r="D320">
        <v>70072900</v>
      </c>
      <c r="E320" s="309">
        <v>470</v>
      </c>
      <c r="F320" s="306">
        <v>2726</v>
      </c>
      <c r="G320" t="s">
        <v>436</v>
      </c>
      <c r="H320" s="78">
        <v>1761</v>
      </c>
    </row>
    <row r="321" spans="1:8" x14ac:dyDescent="0.3">
      <c r="A321" s="31" t="s">
        <v>1280</v>
      </c>
      <c r="B321" s="330" t="s">
        <v>1220</v>
      </c>
      <c r="C321" s="308">
        <v>1</v>
      </c>
      <c r="D321">
        <v>72163100</v>
      </c>
      <c r="E321" s="309">
        <v>1280</v>
      </c>
      <c r="F321" s="306">
        <v>1280</v>
      </c>
      <c r="G321" t="s">
        <v>436</v>
      </c>
      <c r="H321" s="78">
        <v>1761</v>
      </c>
    </row>
    <row r="322" spans="1:8" x14ac:dyDescent="0.3">
      <c r="A322" s="31" t="s">
        <v>1308</v>
      </c>
      <c r="B322" s="330" t="s">
        <v>1220</v>
      </c>
      <c r="C322" s="308">
        <v>2</v>
      </c>
      <c r="D322">
        <v>76042920</v>
      </c>
      <c r="E322" s="309">
        <v>650</v>
      </c>
      <c r="F322" s="306">
        <v>1300</v>
      </c>
      <c r="G322" t="s">
        <v>436</v>
      </c>
      <c r="H322" s="78">
        <v>1762</v>
      </c>
    </row>
    <row r="323" spans="1:8" x14ac:dyDescent="0.3">
      <c r="A323" s="31" t="s">
        <v>1403</v>
      </c>
      <c r="B323" s="330" t="s">
        <v>1220</v>
      </c>
      <c r="C323" s="308">
        <v>1</v>
      </c>
      <c r="D323">
        <v>70072900</v>
      </c>
      <c r="E323" s="309">
        <v>640.6</v>
      </c>
      <c r="F323" s="306">
        <v>640.6</v>
      </c>
      <c r="G323" t="s">
        <v>436</v>
      </c>
      <c r="H323" s="78">
        <v>1762</v>
      </c>
    </row>
    <row r="324" spans="1:8" x14ac:dyDescent="0.3">
      <c r="A324" s="31" t="s">
        <v>1290</v>
      </c>
      <c r="B324" s="330" t="s">
        <v>1220</v>
      </c>
      <c r="C324" s="308">
        <v>1</v>
      </c>
      <c r="D324">
        <v>84798999</v>
      </c>
      <c r="E324" s="309">
        <v>9000</v>
      </c>
      <c r="F324" s="306">
        <v>9000</v>
      </c>
      <c r="G324" t="s">
        <v>436</v>
      </c>
      <c r="H324" s="78">
        <v>1762</v>
      </c>
    </row>
    <row r="325" spans="1:8" x14ac:dyDescent="0.3">
      <c r="A325" s="31" t="s">
        <v>1224</v>
      </c>
      <c r="B325" s="330" t="s">
        <v>1220</v>
      </c>
      <c r="C325" s="308">
        <v>1</v>
      </c>
      <c r="D325">
        <v>85261000</v>
      </c>
      <c r="E325" s="309">
        <v>850</v>
      </c>
      <c r="F325" s="306">
        <v>850</v>
      </c>
      <c r="G325" t="s">
        <v>436</v>
      </c>
      <c r="H325" s="78">
        <v>1762</v>
      </c>
    </row>
    <row r="326" spans="1:8" x14ac:dyDescent="0.3">
      <c r="A326" s="31" t="s">
        <v>1225</v>
      </c>
      <c r="B326" s="330" t="s">
        <v>1220</v>
      </c>
      <c r="C326" s="308">
        <v>1</v>
      </c>
      <c r="D326">
        <v>84798999</v>
      </c>
      <c r="E326" s="309">
        <v>1600</v>
      </c>
      <c r="F326" s="306">
        <v>1600</v>
      </c>
      <c r="G326" t="s">
        <v>436</v>
      </c>
      <c r="H326" s="78">
        <v>1762</v>
      </c>
    </row>
    <row r="327" spans="1:8" x14ac:dyDescent="0.3">
      <c r="A327" s="31" t="s">
        <v>1186</v>
      </c>
      <c r="B327" s="330" t="s">
        <v>1220</v>
      </c>
      <c r="C327" s="308">
        <v>1</v>
      </c>
      <c r="D327">
        <v>83024900</v>
      </c>
      <c r="E327" s="309">
        <v>450</v>
      </c>
      <c r="F327" s="306">
        <v>450</v>
      </c>
      <c r="G327" t="s">
        <v>436</v>
      </c>
      <c r="H327" s="78">
        <v>1762</v>
      </c>
    </row>
    <row r="328" spans="1:8" x14ac:dyDescent="0.3">
      <c r="A328" s="31" t="s">
        <v>1280</v>
      </c>
      <c r="B328" s="330" t="s">
        <v>1220</v>
      </c>
      <c r="C328" s="308">
        <v>1</v>
      </c>
      <c r="D328">
        <v>72163100</v>
      </c>
      <c r="E328" s="309">
        <v>1280</v>
      </c>
      <c r="F328" s="306">
        <v>1280</v>
      </c>
      <c r="G328" t="s">
        <v>436</v>
      </c>
      <c r="H328" s="78">
        <v>1762</v>
      </c>
    </row>
    <row r="329" spans="1:8" x14ac:dyDescent="0.3">
      <c r="A329" s="31" t="s">
        <v>1243</v>
      </c>
      <c r="B329" s="330" t="s">
        <v>1220</v>
      </c>
      <c r="C329" s="308">
        <v>1</v>
      </c>
      <c r="D329">
        <v>76042100</v>
      </c>
      <c r="E329" s="309">
        <v>1980</v>
      </c>
      <c r="F329" s="306">
        <v>1980</v>
      </c>
      <c r="G329" t="s">
        <v>1591</v>
      </c>
      <c r="H329" s="78">
        <v>1764</v>
      </c>
    </row>
    <row r="330" spans="1:8" x14ac:dyDescent="0.3">
      <c r="A330" s="31" t="s">
        <v>1242</v>
      </c>
      <c r="B330" s="330" t="s">
        <v>1220</v>
      </c>
      <c r="C330" s="308">
        <v>1</v>
      </c>
      <c r="D330">
        <v>76042100</v>
      </c>
      <c r="E330" s="309">
        <v>1980</v>
      </c>
      <c r="F330" s="306">
        <v>1980</v>
      </c>
      <c r="G330" t="s">
        <v>1591</v>
      </c>
      <c r="H330" s="78">
        <v>1764</v>
      </c>
    </row>
    <row r="331" spans="1:8" x14ac:dyDescent="0.3">
      <c r="A331" s="31" t="s">
        <v>1290</v>
      </c>
      <c r="B331" s="330" t="s">
        <v>1220</v>
      </c>
      <c r="C331" s="308">
        <v>1</v>
      </c>
      <c r="D331">
        <v>84798999</v>
      </c>
      <c r="E331" s="309">
        <v>9000</v>
      </c>
      <c r="F331" s="306">
        <v>9000</v>
      </c>
      <c r="G331" t="s">
        <v>1591</v>
      </c>
      <c r="H331" s="78">
        <v>1764</v>
      </c>
    </row>
    <row r="332" spans="1:8" x14ac:dyDescent="0.3">
      <c r="A332" s="31" t="s">
        <v>1224</v>
      </c>
      <c r="B332" s="330" t="s">
        <v>1220</v>
      </c>
      <c r="C332" s="308">
        <v>1</v>
      </c>
      <c r="D332">
        <v>85261000</v>
      </c>
      <c r="E332" s="309">
        <v>850</v>
      </c>
      <c r="F332" s="306">
        <v>850</v>
      </c>
      <c r="G332" t="s">
        <v>1591</v>
      </c>
      <c r="H332" s="78">
        <v>1764</v>
      </c>
    </row>
    <row r="333" spans="1:8" x14ac:dyDescent="0.3">
      <c r="A333" s="31" t="s">
        <v>1226</v>
      </c>
      <c r="B333" s="330" t="s">
        <v>1220</v>
      </c>
      <c r="C333" s="308">
        <v>1</v>
      </c>
      <c r="D333">
        <v>85423190</v>
      </c>
      <c r="E333" s="309">
        <v>625</v>
      </c>
      <c r="F333" s="306">
        <v>625</v>
      </c>
      <c r="G333" t="s">
        <v>1591</v>
      </c>
      <c r="H333" s="78">
        <v>1764</v>
      </c>
    </row>
    <row r="334" spans="1:8" x14ac:dyDescent="0.3">
      <c r="A334" s="31" t="s">
        <v>1225</v>
      </c>
      <c r="B334" s="330" t="s">
        <v>1220</v>
      </c>
      <c r="C334" s="308">
        <v>1</v>
      </c>
      <c r="D334">
        <v>84798999</v>
      </c>
      <c r="E334" s="309">
        <v>1600</v>
      </c>
      <c r="F334" s="306">
        <v>1600</v>
      </c>
      <c r="G334" t="s">
        <v>1591</v>
      </c>
      <c r="H334" s="78">
        <v>1764</v>
      </c>
    </row>
    <row r="335" spans="1:8" x14ac:dyDescent="0.3">
      <c r="A335" s="31" t="s">
        <v>1186</v>
      </c>
      <c r="B335" s="330" t="s">
        <v>1220</v>
      </c>
      <c r="C335" s="308">
        <v>1</v>
      </c>
      <c r="D335">
        <v>83024900</v>
      </c>
      <c r="E335" s="309">
        <v>450</v>
      </c>
      <c r="F335" s="306">
        <v>450</v>
      </c>
      <c r="G335" t="s">
        <v>1591</v>
      </c>
      <c r="H335" s="78">
        <v>1764</v>
      </c>
    </row>
    <row r="336" spans="1:8" x14ac:dyDescent="0.3">
      <c r="A336" s="31" t="s">
        <v>1592</v>
      </c>
      <c r="B336" s="330" t="s">
        <v>1240</v>
      </c>
      <c r="C336" s="308">
        <v>5</v>
      </c>
      <c r="D336">
        <v>70072900</v>
      </c>
      <c r="E336" s="309">
        <v>550</v>
      </c>
      <c r="F336" s="306">
        <v>2750</v>
      </c>
      <c r="G336" t="s">
        <v>1591</v>
      </c>
      <c r="H336" s="78">
        <v>1764</v>
      </c>
    </row>
    <row r="337" spans="1:8" x14ac:dyDescent="0.3">
      <c r="A337" s="31" t="s">
        <v>1292</v>
      </c>
      <c r="B337" s="330" t="s">
        <v>1220</v>
      </c>
      <c r="C337" s="308">
        <v>1</v>
      </c>
      <c r="D337">
        <v>76101000</v>
      </c>
      <c r="E337" s="309">
        <v>663.4</v>
      </c>
      <c r="F337" s="306">
        <v>663.4</v>
      </c>
      <c r="G337" t="s">
        <v>1593</v>
      </c>
      <c r="H337" s="78">
        <v>1765</v>
      </c>
    </row>
    <row r="338" spans="1:8" x14ac:dyDescent="0.3">
      <c r="A338" s="31" t="s">
        <v>1227</v>
      </c>
      <c r="B338" s="330" t="s">
        <v>1220</v>
      </c>
      <c r="C338" s="308">
        <v>1</v>
      </c>
      <c r="D338">
        <v>76101000</v>
      </c>
      <c r="E338" s="309">
        <v>481.5</v>
      </c>
      <c r="F338" s="306">
        <v>481.5</v>
      </c>
      <c r="G338" t="s">
        <v>1593</v>
      </c>
      <c r="H338" s="78">
        <v>1765</v>
      </c>
    </row>
    <row r="339" spans="1:8" x14ac:dyDescent="0.3">
      <c r="A339" s="31" t="s">
        <v>1233</v>
      </c>
      <c r="B339" s="330" t="s">
        <v>1220</v>
      </c>
      <c r="C339" s="308">
        <v>1</v>
      </c>
      <c r="D339">
        <v>83024900</v>
      </c>
      <c r="E339" s="309">
        <v>425.8</v>
      </c>
      <c r="F339" s="306">
        <v>425.8</v>
      </c>
      <c r="G339" t="s">
        <v>1593</v>
      </c>
      <c r="H339" s="78">
        <v>1765</v>
      </c>
    </row>
    <row r="340" spans="1:8" x14ac:dyDescent="0.3">
      <c r="A340" s="31" t="s">
        <v>1594</v>
      </c>
      <c r="B340" s="330" t="s">
        <v>1220</v>
      </c>
      <c r="C340" s="308">
        <v>1</v>
      </c>
      <c r="D340">
        <v>84798999</v>
      </c>
      <c r="E340" s="309">
        <v>7600</v>
      </c>
      <c r="F340" s="306">
        <v>7600</v>
      </c>
      <c r="G340" t="s">
        <v>1593</v>
      </c>
      <c r="H340" s="78">
        <v>1765</v>
      </c>
    </row>
    <row r="341" spans="1:8" x14ac:dyDescent="0.3">
      <c r="A341" s="31" t="s">
        <v>1224</v>
      </c>
      <c r="B341" s="330" t="s">
        <v>1220</v>
      </c>
      <c r="C341" s="308">
        <v>2</v>
      </c>
      <c r="D341">
        <v>85261000</v>
      </c>
      <c r="E341" s="309">
        <v>850</v>
      </c>
      <c r="F341" s="306">
        <v>1700</v>
      </c>
      <c r="G341" t="s">
        <v>1593</v>
      </c>
      <c r="H341" s="78">
        <v>1765</v>
      </c>
    </row>
    <row r="342" spans="1:8" x14ac:dyDescent="0.3">
      <c r="A342" s="31" t="s">
        <v>1231</v>
      </c>
      <c r="B342" s="330" t="s">
        <v>1220</v>
      </c>
      <c r="C342" s="308">
        <v>1</v>
      </c>
      <c r="D342">
        <v>85423190</v>
      </c>
      <c r="E342" s="309">
        <v>724</v>
      </c>
      <c r="F342" s="306">
        <v>724</v>
      </c>
      <c r="G342" t="s">
        <v>1593</v>
      </c>
      <c r="H342" s="78">
        <v>1765</v>
      </c>
    </row>
    <row r="343" spans="1:8" x14ac:dyDescent="0.3">
      <c r="A343" s="31" t="s">
        <v>1232</v>
      </c>
      <c r="B343" s="330" t="s">
        <v>1220</v>
      </c>
      <c r="C343" s="308">
        <v>1</v>
      </c>
      <c r="D343">
        <v>83026000</v>
      </c>
      <c r="E343" s="309">
        <v>450</v>
      </c>
      <c r="F343" s="306">
        <v>450</v>
      </c>
      <c r="G343" t="s">
        <v>1593</v>
      </c>
      <c r="H343" s="78">
        <v>1765</v>
      </c>
    </row>
    <row r="344" spans="1:8" x14ac:dyDescent="0.3">
      <c r="A344" s="31" t="s">
        <v>1296</v>
      </c>
      <c r="B344" s="330" t="s">
        <v>1240</v>
      </c>
      <c r="C344" s="308">
        <v>4.5599999999999996</v>
      </c>
      <c r="D344">
        <v>70072900</v>
      </c>
      <c r="E344" s="309">
        <v>470</v>
      </c>
      <c r="F344" s="306">
        <v>2143.1999999999998</v>
      </c>
      <c r="G344" t="s">
        <v>1593</v>
      </c>
      <c r="H344" s="78">
        <v>1765</v>
      </c>
    </row>
    <row r="345" spans="1:8" x14ac:dyDescent="0.3">
      <c r="A345" s="31" t="s">
        <v>1587</v>
      </c>
      <c r="B345" s="330" t="s">
        <v>1220</v>
      </c>
      <c r="C345" s="308">
        <v>1</v>
      </c>
      <c r="D345">
        <v>85437099</v>
      </c>
      <c r="E345" s="309">
        <v>2380</v>
      </c>
      <c r="F345" s="306">
        <v>2380</v>
      </c>
      <c r="G345" t="s">
        <v>1595</v>
      </c>
      <c r="H345" s="78">
        <v>1766</v>
      </c>
    </row>
    <row r="346" spans="1:8" x14ac:dyDescent="0.3">
      <c r="A346" s="31" t="s">
        <v>1227</v>
      </c>
      <c r="B346" s="330" t="s">
        <v>1220</v>
      </c>
      <c r="C346" s="308">
        <v>1</v>
      </c>
      <c r="D346">
        <v>76101000</v>
      </c>
      <c r="E346" s="309">
        <v>481.5</v>
      </c>
      <c r="F346" s="306">
        <v>481.5</v>
      </c>
      <c r="G346" t="s">
        <v>1595</v>
      </c>
      <c r="H346" s="78">
        <v>1766</v>
      </c>
    </row>
    <row r="347" spans="1:8" x14ac:dyDescent="0.3">
      <c r="A347" s="31" t="s">
        <v>1290</v>
      </c>
      <c r="B347" s="330" t="s">
        <v>1220</v>
      </c>
      <c r="C347" s="308">
        <v>1</v>
      </c>
      <c r="D347">
        <v>84798999</v>
      </c>
      <c r="E347" s="309">
        <v>9000</v>
      </c>
      <c r="F347" s="306">
        <v>9000</v>
      </c>
      <c r="G347" t="s">
        <v>1595</v>
      </c>
      <c r="H347" s="78">
        <v>1766</v>
      </c>
    </row>
    <row r="348" spans="1:8" x14ac:dyDescent="0.3">
      <c r="A348" s="31" t="s">
        <v>1226</v>
      </c>
      <c r="B348" s="330" t="s">
        <v>1220</v>
      </c>
      <c r="C348" s="308">
        <v>1</v>
      </c>
      <c r="D348">
        <v>85423190</v>
      </c>
      <c r="E348" s="309">
        <v>625</v>
      </c>
      <c r="F348" s="306">
        <v>625</v>
      </c>
      <c r="G348" t="s">
        <v>1595</v>
      </c>
      <c r="H348" s="78">
        <v>1766</v>
      </c>
    </row>
    <row r="349" spans="1:8" x14ac:dyDescent="0.3">
      <c r="A349" s="31" t="s">
        <v>1225</v>
      </c>
      <c r="B349" s="330" t="s">
        <v>1220</v>
      </c>
      <c r="C349" s="308">
        <v>1</v>
      </c>
      <c r="D349">
        <v>84798999</v>
      </c>
      <c r="E349" s="309">
        <v>1600</v>
      </c>
      <c r="F349" s="306">
        <v>1600</v>
      </c>
      <c r="G349" t="s">
        <v>1595</v>
      </c>
      <c r="H349" s="78">
        <v>1766</v>
      </c>
    </row>
    <row r="350" spans="1:8" x14ac:dyDescent="0.3">
      <c r="A350" s="31" t="s">
        <v>1186</v>
      </c>
      <c r="B350" s="330" t="s">
        <v>1220</v>
      </c>
      <c r="C350" s="308">
        <v>1</v>
      </c>
      <c r="D350">
        <v>83024900</v>
      </c>
      <c r="E350" s="309">
        <v>450</v>
      </c>
      <c r="F350" s="306">
        <v>450</v>
      </c>
      <c r="G350" t="s">
        <v>1595</v>
      </c>
      <c r="H350" s="78">
        <v>1766</v>
      </c>
    </row>
    <row r="351" spans="1:8" x14ac:dyDescent="0.3">
      <c r="A351" s="31" t="s">
        <v>1296</v>
      </c>
      <c r="B351" s="330" t="s">
        <v>1240</v>
      </c>
      <c r="C351" s="308">
        <v>2.1</v>
      </c>
      <c r="D351">
        <v>70072900</v>
      </c>
      <c r="E351" s="309">
        <v>470</v>
      </c>
      <c r="F351" s="306">
        <v>987</v>
      </c>
      <c r="G351" t="s">
        <v>1595</v>
      </c>
      <c r="H351" s="78">
        <v>1766</v>
      </c>
    </row>
    <row r="352" spans="1:8" x14ac:dyDescent="0.3">
      <c r="A352" s="31" t="s">
        <v>1227</v>
      </c>
      <c r="B352" s="330" t="s">
        <v>1220</v>
      </c>
      <c r="C352" s="308">
        <v>2</v>
      </c>
      <c r="D352">
        <v>76101000</v>
      </c>
      <c r="E352" s="309">
        <v>481.5</v>
      </c>
      <c r="F352" s="306">
        <v>963</v>
      </c>
      <c r="G352" t="s">
        <v>1596</v>
      </c>
      <c r="H352" s="78">
        <v>1767</v>
      </c>
    </row>
    <row r="353" spans="1:8" x14ac:dyDescent="0.3">
      <c r="A353" s="31" t="s">
        <v>1233</v>
      </c>
      <c r="B353" s="330" t="s">
        <v>1220</v>
      </c>
      <c r="C353" s="308">
        <v>1</v>
      </c>
      <c r="D353">
        <v>83024900</v>
      </c>
      <c r="E353" s="309">
        <v>650.79999999999995</v>
      </c>
      <c r="F353" s="306">
        <v>650.79999999999995</v>
      </c>
      <c r="G353" t="s">
        <v>1596</v>
      </c>
      <c r="H353" s="78">
        <v>1767</v>
      </c>
    </row>
    <row r="354" spans="1:8" x14ac:dyDescent="0.3">
      <c r="A354" s="31" t="s">
        <v>1230</v>
      </c>
      <c r="B354" s="330" t="s">
        <v>1220</v>
      </c>
      <c r="C354" s="308">
        <v>1</v>
      </c>
      <c r="D354">
        <v>84798999</v>
      </c>
      <c r="E354" s="309">
        <v>8900</v>
      </c>
      <c r="F354" s="306">
        <v>8900</v>
      </c>
      <c r="G354" t="s">
        <v>1596</v>
      </c>
      <c r="H354" s="78">
        <v>1767</v>
      </c>
    </row>
    <row r="355" spans="1:8" x14ac:dyDescent="0.3">
      <c r="A355" s="31" t="s">
        <v>1274</v>
      </c>
      <c r="B355" s="330" t="s">
        <v>1220</v>
      </c>
      <c r="C355" s="308">
        <v>2</v>
      </c>
      <c r="D355">
        <v>39204900</v>
      </c>
      <c r="E355" s="309">
        <v>190</v>
      </c>
      <c r="F355" s="306">
        <v>380</v>
      </c>
      <c r="G355" t="s">
        <v>1596</v>
      </c>
      <c r="H355" s="78">
        <v>1767</v>
      </c>
    </row>
    <row r="356" spans="1:8" x14ac:dyDescent="0.3">
      <c r="A356" s="31" t="s">
        <v>1224</v>
      </c>
      <c r="B356" s="330" t="s">
        <v>1220</v>
      </c>
      <c r="C356" s="308">
        <v>2</v>
      </c>
      <c r="D356">
        <v>85261000</v>
      </c>
      <c r="E356" s="309">
        <v>850</v>
      </c>
      <c r="F356" s="306">
        <v>1700</v>
      </c>
      <c r="G356" t="s">
        <v>1596</v>
      </c>
      <c r="H356" s="78">
        <v>1767</v>
      </c>
    </row>
    <row r="357" spans="1:8" x14ac:dyDescent="0.3">
      <c r="A357" s="31" t="s">
        <v>1226</v>
      </c>
      <c r="B357" s="330" t="s">
        <v>1220</v>
      </c>
      <c r="C357" s="308">
        <v>1</v>
      </c>
      <c r="D357">
        <v>85423190</v>
      </c>
      <c r="E357" s="309">
        <v>625</v>
      </c>
      <c r="F357" s="306">
        <v>625</v>
      </c>
      <c r="G357" t="s">
        <v>1596</v>
      </c>
      <c r="H357" s="78">
        <v>1767</v>
      </c>
    </row>
    <row r="358" spans="1:8" x14ac:dyDescent="0.3">
      <c r="A358" s="31" t="s">
        <v>1232</v>
      </c>
      <c r="B358" s="330" t="s">
        <v>1220</v>
      </c>
      <c r="C358" s="308">
        <v>1</v>
      </c>
      <c r="D358">
        <v>83026000</v>
      </c>
      <c r="E358" s="309">
        <v>450</v>
      </c>
      <c r="F358" s="306">
        <v>450</v>
      </c>
      <c r="G358" t="s">
        <v>1596</v>
      </c>
      <c r="H358" s="78">
        <v>1767</v>
      </c>
    </row>
    <row r="359" spans="1:8" x14ac:dyDescent="0.3">
      <c r="A359" s="31" t="s">
        <v>1296</v>
      </c>
      <c r="B359" s="330" t="s">
        <v>1240</v>
      </c>
      <c r="C359" s="308">
        <v>4.5</v>
      </c>
      <c r="D359">
        <v>70072900</v>
      </c>
      <c r="E359" s="309">
        <v>530</v>
      </c>
      <c r="F359" s="306">
        <v>2385</v>
      </c>
      <c r="G359" t="s">
        <v>1596</v>
      </c>
      <c r="H359" s="78">
        <v>1767</v>
      </c>
    </row>
    <row r="360" spans="1:8" x14ac:dyDescent="0.3">
      <c r="A360" s="31" t="s">
        <v>1280</v>
      </c>
      <c r="B360" s="330" t="s">
        <v>1220</v>
      </c>
      <c r="C360" s="308">
        <v>1</v>
      </c>
      <c r="D360">
        <v>72163100</v>
      </c>
      <c r="E360" s="309">
        <v>1180</v>
      </c>
      <c r="F360" s="306">
        <v>1180</v>
      </c>
      <c r="G360" t="s">
        <v>1596</v>
      </c>
      <c r="H360" s="78">
        <v>1767</v>
      </c>
    </row>
    <row r="361" spans="1:8" x14ac:dyDescent="0.3">
      <c r="A361" s="31" t="s">
        <v>1231</v>
      </c>
      <c r="B361" s="330" t="s">
        <v>1220</v>
      </c>
      <c r="C361" s="308">
        <v>1</v>
      </c>
      <c r="D361">
        <v>85423190</v>
      </c>
      <c r="E361" s="309">
        <v>1016</v>
      </c>
      <c r="F361" s="306">
        <v>1016</v>
      </c>
      <c r="G361" t="s">
        <v>1599</v>
      </c>
      <c r="H361" s="78">
        <v>1770</v>
      </c>
    </row>
    <row r="362" spans="1:8" x14ac:dyDescent="0.3">
      <c r="A362" s="31" t="s">
        <v>1252</v>
      </c>
      <c r="B362" s="330" t="s">
        <v>1220</v>
      </c>
      <c r="C362" s="308">
        <v>4</v>
      </c>
      <c r="D362">
        <v>84799090</v>
      </c>
      <c r="E362" s="309">
        <v>588.5</v>
      </c>
      <c r="F362" s="306">
        <v>2354</v>
      </c>
      <c r="G362" t="s">
        <v>1266</v>
      </c>
      <c r="H362" s="78">
        <v>1771</v>
      </c>
    </row>
    <row r="363" spans="1:8" x14ac:dyDescent="0.3">
      <c r="A363" s="31" t="s">
        <v>1600</v>
      </c>
      <c r="B363" s="330" t="s">
        <v>1220</v>
      </c>
      <c r="C363" s="308">
        <v>1</v>
      </c>
      <c r="D363">
        <v>40029990</v>
      </c>
      <c r="E363" s="309">
        <v>774</v>
      </c>
      <c r="F363" s="306">
        <v>774</v>
      </c>
      <c r="G363" t="s">
        <v>1266</v>
      </c>
      <c r="H363" s="78">
        <v>1771</v>
      </c>
    </row>
    <row r="364" spans="1:8" x14ac:dyDescent="0.3">
      <c r="A364" s="31" t="s">
        <v>1233</v>
      </c>
      <c r="B364" s="330" t="s">
        <v>1220</v>
      </c>
      <c r="C364" s="308">
        <v>1</v>
      </c>
      <c r="D364">
        <v>83024900</v>
      </c>
      <c r="E364" s="309">
        <v>650.79999999999995</v>
      </c>
      <c r="F364" s="306">
        <v>650.79999999999995</v>
      </c>
      <c r="G364" t="s">
        <v>1266</v>
      </c>
      <c r="H364" s="78">
        <v>1771</v>
      </c>
    </row>
    <row r="365" spans="1:8" x14ac:dyDescent="0.3">
      <c r="A365" s="31" t="s">
        <v>1256</v>
      </c>
      <c r="B365" s="330" t="s">
        <v>1220</v>
      </c>
      <c r="C365" s="308">
        <v>2</v>
      </c>
      <c r="D365">
        <v>83024900</v>
      </c>
      <c r="E365" s="309">
        <v>190.4</v>
      </c>
      <c r="F365" s="306">
        <v>380.8</v>
      </c>
      <c r="G365" t="s">
        <v>1266</v>
      </c>
      <c r="H365" s="78">
        <v>1771</v>
      </c>
    </row>
    <row r="366" spans="1:8" x14ac:dyDescent="0.3">
      <c r="A366" s="31" t="s">
        <v>1325</v>
      </c>
      <c r="B366" s="330" t="s">
        <v>1220</v>
      </c>
      <c r="C366" s="308">
        <v>1</v>
      </c>
      <c r="D366">
        <v>76042920</v>
      </c>
      <c r="E366" s="309">
        <v>480</v>
      </c>
      <c r="F366" s="306">
        <v>480</v>
      </c>
      <c r="G366" t="s">
        <v>1266</v>
      </c>
      <c r="H366" s="78">
        <v>1771</v>
      </c>
    </row>
    <row r="367" spans="1:8" x14ac:dyDescent="0.3">
      <c r="A367" s="31" t="s">
        <v>1319</v>
      </c>
      <c r="B367" s="330" t="s">
        <v>1220</v>
      </c>
      <c r="C367" s="308">
        <v>2</v>
      </c>
      <c r="D367">
        <v>84799090</v>
      </c>
      <c r="E367" s="309">
        <v>190</v>
      </c>
      <c r="F367" s="306">
        <v>380</v>
      </c>
      <c r="G367" t="s">
        <v>1266</v>
      </c>
      <c r="H367" s="78">
        <v>1771</v>
      </c>
    </row>
    <row r="368" spans="1:8" x14ac:dyDescent="0.3">
      <c r="A368" s="31" t="s">
        <v>1602</v>
      </c>
      <c r="B368" s="330" t="s">
        <v>1220</v>
      </c>
      <c r="C368" s="308">
        <v>4</v>
      </c>
      <c r="D368">
        <v>83024900</v>
      </c>
      <c r="E368" s="309">
        <v>585.29999999999995</v>
      </c>
      <c r="F368" s="306">
        <v>2341.1999999999998</v>
      </c>
      <c r="G368" t="s">
        <v>1601</v>
      </c>
      <c r="H368" s="78">
        <v>1772</v>
      </c>
    </row>
    <row r="369" spans="1:8" x14ac:dyDescent="0.3">
      <c r="A369" s="31" t="s">
        <v>1227</v>
      </c>
      <c r="B369" s="330" t="s">
        <v>1220</v>
      </c>
      <c r="C369" s="308">
        <v>2</v>
      </c>
      <c r="D369">
        <v>76101000</v>
      </c>
      <c r="E369" s="309">
        <v>481.5</v>
      </c>
      <c r="F369" s="306">
        <v>963</v>
      </c>
      <c r="G369" t="s">
        <v>1603</v>
      </c>
      <c r="H369" s="78">
        <v>1773</v>
      </c>
    </row>
    <row r="370" spans="1:8" x14ac:dyDescent="0.3">
      <c r="A370" s="31" t="s">
        <v>1233</v>
      </c>
      <c r="B370" s="330" t="s">
        <v>1220</v>
      </c>
      <c r="C370" s="308">
        <v>1</v>
      </c>
      <c r="D370">
        <v>83024900</v>
      </c>
      <c r="E370" s="309">
        <v>650.79999999999995</v>
      </c>
      <c r="F370" s="306">
        <v>650.79999999999995</v>
      </c>
      <c r="G370" t="s">
        <v>1603</v>
      </c>
      <c r="H370" s="78">
        <v>1773</v>
      </c>
    </row>
    <row r="371" spans="1:8" x14ac:dyDescent="0.3">
      <c r="A371" s="31" t="s">
        <v>1230</v>
      </c>
      <c r="B371" s="330" t="s">
        <v>1220</v>
      </c>
      <c r="C371" s="308">
        <v>1</v>
      </c>
      <c r="D371">
        <v>84798999</v>
      </c>
      <c r="E371" s="309">
        <v>8900</v>
      </c>
      <c r="F371" s="306">
        <v>8900</v>
      </c>
      <c r="G371" t="s">
        <v>1603</v>
      </c>
      <c r="H371" s="78">
        <v>1773</v>
      </c>
    </row>
    <row r="372" spans="1:8" x14ac:dyDescent="0.3">
      <c r="A372" s="31" t="s">
        <v>1224</v>
      </c>
      <c r="B372" s="330" t="s">
        <v>1220</v>
      </c>
      <c r="C372" s="308">
        <v>2</v>
      </c>
      <c r="D372">
        <v>85261000</v>
      </c>
      <c r="E372" s="309">
        <v>850</v>
      </c>
      <c r="F372" s="306">
        <v>1700</v>
      </c>
      <c r="G372" t="s">
        <v>1603</v>
      </c>
      <c r="H372" s="78">
        <v>1773</v>
      </c>
    </row>
    <row r="373" spans="1:8" x14ac:dyDescent="0.3">
      <c r="A373" s="31" t="s">
        <v>1231</v>
      </c>
      <c r="B373" s="330" t="s">
        <v>1220</v>
      </c>
      <c r="C373" s="308">
        <v>1</v>
      </c>
      <c r="D373">
        <v>85423190</v>
      </c>
      <c r="E373" s="309">
        <v>724</v>
      </c>
      <c r="F373" s="306">
        <v>724</v>
      </c>
      <c r="G373" t="s">
        <v>1603</v>
      </c>
      <c r="H373" s="78">
        <v>1773</v>
      </c>
    </row>
    <row r="374" spans="1:8" x14ac:dyDescent="0.3">
      <c r="A374" s="31" t="s">
        <v>1232</v>
      </c>
      <c r="B374" s="330" t="s">
        <v>1220</v>
      </c>
      <c r="C374" s="308">
        <v>1</v>
      </c>
      <c r="D374">
        <v>83026000</v>
      </c>
      <c r="E374" s="309">
        <v>450</v>
      </c>
      <c r="F374" s="306">
        <v>450</v>
      </c>
      <c r="G374" t="s">
        <v>1603</v>
      </c>
      <c r="H374" s="78">
        <v>1773</v>
      </c>
    </row>
    <row r="375" spans="1:8" x14ac:dyDescent="0.3">
      <c r="A375" s="31" t="s">
        <v>1227</v>
      </c>
      <c r="B375" s="330" t="s">
        <v>1220</v>
      </c>
      <c r="C375" s="308">
        <v>1</v>
      </c>
      <c r="D375">
        <v>76101000</v>
      </c>
      <c r="E375" s="309">
        <v>481.5</v>
      </c>
      <c r="F375" s="306">
        <v>481.5</v>
      </c>
      <c r="G375" t="s">
        <v>1603</v>
      </c>
      <c r="H375" s="78">
        <v>1774</v>
      </c>
    </row>
    <row r="376" spans="1:8" x14ac:dyDescent="0.3">
      <c r="A376" s="31" t="s">
        <v>1233</v>
      </c>
      <c r="B376" s="330" t="s">
        <v>1220</v>
      </c>
      <c r="C376" s="308">
        <v>1</v>
      </c>
      <c r="D376">
        <v>83024900</v>
      </c>
      <c r="E376" s="309">
        <v>650.79999999999995</v>
      </c>
      <c r="F376" s="306">
        <v>650.79999999999995</v>
      </c>
      <c r="G376" t="s">
        <v>1603</v>
      </c>
      <c r="H376" s="78">
        <v>1774</v>
      </c>
    </row>
    <row r="377" spans="1:8" x14ac:dyDescent="0.3">
      <c r="A377" s="31" t="s">
        <v>1594</v>
      </c>
      <c r="B377" s="330" t="s">
        <v>1220</v>
      </c>
      <c r="C377" s="308">
        <v>1</v>
      </c>
      <c r="D377">
        <v>84798999</v>
      </c>
      <c r="E377" s="309">
        <v>7600</v>
      </c>
      <c r="F377" s="306">
        <v>7600</v>
      </c>
      <c r="G377" t="s">
        <v>1603</v>
      </c>
      <c r="H377" s="78">
        <v>1774</v>
      </c>
    </row>
    <row r="378" spans="1:8" x14ac:dyDescent="0.3">
      <c r="A378" s="31" t="s">
        <v>1224</v>
      </c>
      <c r="B378" s="330" t="s">
        <v>1220</v>
      </c>
      <c r="C378" s="308">
        <v>2</v>
      </c>
      <c r="D378">
        <v>85261000</v>
      </c>
      <c r="E378" s="309">
        <v>850</v>
      </c>
      <c r="F378" s="306">
        <v>1700</v>
      </c>
      <c r="G378" t="s">
        <v>1603</v>
      </c>
      <c r="H378" s="78">
        <v>1774</v>
      </c>
    </row>
    <row r="379" spans="1:8" x14ac:dyDescent="0.3">
      <c r="A379" s="31" t="s">
        <v>1231</v>
      </c>
      <c r="B379" s="330" t="s">
        <v>1220</v>
      </c>
      <c r="C379" s="308">
        <v>1</v>
      </c>
      <c r="D379">
        <v>85423190</v>
      </c>
      <c r="E379" s="309">
        <v>724</v>
      </c>
      <c r="F379" s="306">
        <v>724</v>
      </c>
      <c r="G379" t="s">
        <v>1603</v>
      </c>
      <c r="H379" s="78">
        <v>1774</v>
      </c>
    </row>
    <row r="380" spans="1:8" x14ac:dyDescent="0.3">
      <c r="A380" s="31" t="s">
        <v>1232</v>
      </c>
      <c r="B380" s="330" t="s">
        <v>1220</v>
      </c>
      <c r="C380" s="308">
        <v>1</v>
      </c>
      <c r="D380">
        <v>83026000</v>
      </c>
      <c r="E380" s="309">
        <v>450</v>
      </c>
      <c r="F380" s="306">
        <v>450</v>
      </c>
      <c r="G380" t="s">
        <v>1603</v>
      </c>
      <c r="H380" s="78">
        <v>1774</v>
      </c>
    </row>
    <row r="381" spans="1:8" x14ac:dyDescent="0.3">
      <c r="A381" s="31" t="s">
        <v>1258</v>
      </c>
      <c r="B381" s="330" t="s">
        <v>1220</v>
      </c>
      <c r="C381" s="308">
        <v>2</v>
      </c>
      <c r="D381">
        <v>84799090</v>
      </c>
      <c r="E381" s="309">
        <v>447.45</v>
      </c>
      <c r="F381" s="306">
        <v>894.9</v>
      </c>
      <c r="G381" t="s">
        <v>1608</v>
      </c>
      <c r="H381" s="78">
        <v>1775</v>
      </c>
    </row>
    <row r="382" spans="1:8" x14ac:dyDescent="0.3">
      <c r="A382" s="31" t="s">
        <v>1574</v>
      </c>
      <c r="B382" s="330" t="s">
        <v>1220</v>
      </c>
      <c r="C382" s="308">
        <v>10</v>
      </c>
      <c r="D382">
        <v>76101000</v>
      </c>
      <c r="E382" s="309">
        <v>3494</v>
      </c>
      <c r="F382" s="306">
        <v>34940</v>
      </c>
      <c r="G382" t="s">
        <v>1569</v>
      </c>
      <c r="H382" s="78">
        <v>1776</v>
      </c>
    </row>
    <row r="383" spans="1:8" x14ac:dyDescent="0.3">
      <c r="A383" s="31" t="s">
        <v>1573</v>
      </c>
      <c r="B383" s="330" t="s">
        <v>1220</v>
      </c>
      <c r="C383" s="308">
        <v>10</v>
      </c>
      <c r="D383">
        <v>76101000</v>
      </c>
      <c r="E383" s="309">
        <v>3006.7</v>
      </c>
      <c r="F383" s="306">
        <v>30067</v>
      </c>
      <c r="G383" t="s">
        <v>1569</v>
      </c>
      <c r="H383" s="78">
        <v>1776</v>
      </c>
    </row>
    <row r="384" spans="1:8" x14ac:dyDescent="0.3">
      <c r="A384" s="31" t="s">
        <v>1249</v>
      </c>
      <c r="B384" s="330" t="s">
        <v>1220</v>
      </c>
      <c r="C384" s="308">
        <v>5</v>
      </c>
      <c r="D384">
        <v>84798999</v>
      </c>
      <c r="E384" s="309">
        <v>14900</v>
      </c>
      <c r="F384" s="306">
        <v>74500</v>
      </c>
      <c r="G384" t="s">
        <v>1569</v>
      </c>
      <c r="H384" s="78">
        <v>1776</v>
      </c>
    </row>
    <row r="385" spans="1:8" x14ac:dyDescent="0.3">
      <c r="A385" s="31" t="s">
        <v>1576</v>
      </c>
      <c r="B385" s="330" t="s">
        <v>1220</v>
      </c>
      <c r="C385" s="308">
        <v>5</v>
      </c>
      <c r="D385">
        <v>76042920</v>
      </c>
      <c r="E385" s="309">
        <v>730</v>
      </c>
      <c r="F385" s="306">
        <v>3650</v>
      </c>
      <c r="G385" t="s">
        <v>1569</v>
      </c>
      <c r="H385" s="78">
        <v>1776</v>
      </c>
    </row>
    <row r="386" spans="1:8" x14ac:dyDescent="0.3">
      <c r="A386" s="31" t="s">
        <v>1575</v>
      </c>
      <c r="B386" s="330" t="s">
        <v>1220</v>
      </c>
      <c r="C386" s="308">
        <v>5</v>
      </c>
      <c r="D386">
        <v>76042920</v>
      </c>
      <c r="E386" s="309">
        <v>834</v>
      </c>
      <c r="F386" s="306">
        <v>4170</v>
      </c>
      <c r="G386" t="s">
        <v>1569</v>
      </c>
      <c r="H386" s="78">
        <v>1776</v>
      </c>
    </row>
    <row r="387" spans="1:8" x14ac:dyDescent="0.3">
      <c r="A387" s="31" t="s">
        <v>1224</v>
      </c>
      <c r="B387" s="330" t="s">
        <v>1220</v>
      </c>
      <c r="C387" s="308">
        <v>5</v>
      </c>
      <c r="D387">
        <v>85261000</v>
      </c>
      <c r="E387" s="309">
        <v>850</v>
      </c>
      <c r="F387" s="306">
        <v>4250</v>
      </c>
      <c r="G387" t="s">
        <v>1569</v>
      </c>
      <c r="H387" s="78">
        <v>1776</v>
      </c>
    </row>
    <row r="388" spans="1:8" x14ac:dyDescent="0.3">
      <c r="A388" s="31" t="s">
        <v>1226</v>
      </c>
      <c r="B388" s="330" t="s">
        <v>1220</v>
      </c>
      <c r="C388" s="308">
        <v>5</v>
      </c>
      <c r="D388">
        <v>85423190</v>
      </c>
      <c r="E388" s="309">
        <v>625</v>
      </c>
      <c r="F388" s="306">
        <v>3125</v>
      </c>
      <c r="G388" t="s">
        <v>1569</v>
      </c>
      <c r="H388" s="78">
        <v>1776</v>
      </c>
    </row>
    <row r="389" spans="1:8" x14ac:dyDescent="0.3">
      <c r="A389" s="31" t="s">
        <v>1225</v>
      </c>
      <c r="B389" s="330" t="s">
        <v>1220</v>
      </c>
      <c r="C389" s="308">
        <v>5</v>
      </c>
      <c r="D389">
        <v>84798999</v>
      </c>
      <c r="E389" s="309">
        <v>1600</v>
      </c>
      <c r="F389" s="306">
        <v>8000</v>
      </c>
      <c r="G389" t="s">
        <v>1569</v>
      </c>
      <c r="H389" s="78">
        <v>1776</v>
      </c>
    </row>
    <row r="390" spans="1:8" x14ac:dyDescent="0.3">
      <c r="A390" s="31" t="s">
        <v>1223</v>
      </c>
      <c r="B390" s="330" t="s">
        <v>1220</v>
      </c>
      <c r="C390" s="308">
        <v>5</v>
      </c>
      <c r="D390">
        <v>83024900</v>
      </c>
      <c r="E390" s="309">
        <v>642</v>
      </c>
      <c r="F390" s="306">
        <v>3210</v>
      </c>
      <c r="G390" t="s">
        <v>1569</v>
      </c>
      <c r="H390" s="78">
        <v>1776</v>
      </c>
    </row>
    <row r="391" spans="1:8" x14ac:dyDescent="0.3">
      <c r="A391" s="31" t="s">
        <v>1233</v>
      </c>
      <c r="B391" s="330" t="s">
        <v>1220</v>
      </c>
      <c r="C391" s="308">
        <v>2</v>
      </c>
      <c r="D391">
        <v>83024900</v>
      </c>
      <c r="E391" s="309">
        <v>650.79999999999995</v>
      </c>
      <c r="F391" s="306">
        <v>1301.5999999999999</v>
      </c>
      <c r="G391" t="s">
        <v>1277</v>
      </c>
      <c r="H391" s="78">
        <v>1777</v>
      </c>
    </row>
    <row r="392" spans="1:8" x14ac:dyDescent="0.3">
      <c r="A392" s="31" t="s">
        <v>1227</v>
      </c>
      <c r="B392" s="330" t="s">
        <v>1220</v>
      </c>
      <c r="C392" s="308">
        <v>2</v>
      </c>
      <c r="D392">
        <v>76101000</v>
      </c>
      <c r="E392" s="309">
        <v>481.5</v>
      </c>
      <c r="F392" s="306">
        <v>963</v>
      </c>
      <c r="G392" t="s">
        <v>1295</v>
      </c>
      <c r="H392" s="78">
        <v>1778</v>
      </c>
    </row>
    <row r="393" spans="1:8" x14ac:dyDescent="0.3">
      <c r="A393" s="31" t="s">
        <v>1185</v>
      </c>
      <c r="B393" s="330" t="s">
        <v>1220</v>
      </c>
      <c r="C393" s="308">
        <v>1</v>
      </c>
      <c r="D393">
        <v>84798999</v>
      </c>
      <c r="E393" s="309">
        <v>10900</v>
      </c>
      <c r="F393" s="306">
        <v>10900</v>
      </c>
      <c r="G393" t="s">
        <v>1295</v>
      </c>
      <c r="H393" s="78">
        <v>1778</v>
      </c>
    </row>
    <row r="394" spans="1:8" x14ac:dyDescent="0.3">
      <c r="A394" s="31" t="s">
        <v>1274</v>
      </c>
      <c r="B394" s="330" t="s">
        <v>1220</v>
      </c>
      <c r="C394" s="308">
        <v>2</v>
      </c>
      <c r="D394">
        <v>39204900</v>
      </c>
      <c r="E394" s="309">
        <v>190</v>
      </c>
      <c r="F394" s="306">
        <v>380</v>
      </c>
      <c r="G394" t="s">
        <v>1295</v>
      </c>
      <c r="H394" s="78">
        <v>1778</v>
      </c>
    </row>
    <row r="395" spans="1:8" x14ac:dyDescent="0.3">
      <c r="A395" s="31" t="s">
        <v>1224</v>
      </c>
      <c r="B395" s="330" t="s">
        <v>1220</v>
      </c>
      <c r="C395" s="308">
        <v>1</v>
      </c>
      <c r="D395">
        <v>85261000</v>
      </c>
      <c r="E395" s="309">
        <v>850</v>
      </c>
      <c r="F395" s="306">
        <v>850</v>
      </c>
      <c r="G395" t="s">
        <v>1295</v>
      </c>
      <c r="H395" s="78">
        <v>1778</v>
      </c>
    </row>
    <row r="396" spans="1:8" x14ac:dyDescent="0.3">
      <c r="A396" s="31" t="s">
        <v>1226</v>
      </c>
      <c r="B396" s="330" t="s">
        <v>1220</v>
      </c>
      <c r="C396" s="308">
        <v>1</v>
      </c>
      <c r="D396">
        <v>85423190</v>
      </c>
      <c r="E396" s="309">
        <v>625</v>
      </c>
      <c r="F396" s="306">
        <v>625</v>
      </c>
      <c r="G396" t="s">
        <v>1295</v>
      </c>
      <c r="H396" s="78">
        <v>1778</v>
      </c>
    </row>
    <row r="397" spans="1:8" x14ac:dyDescent="0.3">
      <c r="A397" s="31" t="s">
        <v>1225</v>
      </c>
      <c r="B397" s="330" t="s">
        <v>1220</v>
      </c>
      <c r="C397" s="308">
        <v>1</v>
      </c>
      <c r="D397">
        <v>84798999</v>
      </c>
      <c r="E397" s="309">
        <v>1600</v>
      </c>
      <c r="F397" s="306">
        <v>1600</v>
      </c>
      <c r="G397" t="s">
        <v>1295</v>
      </c>
      <c r="H397" s="78">
        <v>1778</v>
      </c>
    </row>
    <row r="398" spans="1:8" x14ac:dyDescent="0.3">
      <c r="A398" s="31" t="s">
        <v>1186</v>
      </c>
      <c r="B398" s="330" t="s">
        <v>1220</v>
      </c>
      <c r="C398" s="308">
        <v>1</v>
      </c>
      <c r="D398">
        <v>83024900</v>
      </c>
      <c r="E398" s="309">
        <v>450</v>
      </c>
      <c r="F398" s="306">
        <v>450</v>
      </c>
      <c r="G398" t="s">
        <v>1295</v>
      </c>
      <c r="H398" s="78">
        <v>1778</v>
      </c>
    </row>
    <row r="399" spans="1:8" x14ac:dyDescent="0.3">
      <c r="A399" s="31" t="s">
        <v>1296</v>
      </c>
      <c r="B399" s="330" t="s">
        <v>1240</v>
      </c>
      <c r="C399" s="308">
        <v>5.0999999999999996</v>
      </c>
      <c r="D399">
        <v>70072900</v>
      </c>
      <c r="E399" s="309">
        <v>470</v>
      </c>
      <c r="F399" s="306">
        <v>2397</v>
      </c>
      <c r="G399" t="s">
        <v>1295</v>
      </c>
      <c r="H399" s="78">
        <v>1778</v>
      </c>
    </row>
    <row r="400" spans="1:8" x14ac:dyDescent="0.3">
      <c r="A400" s="31" t="s">
        <v>1285</v>
      </c>
      <c r="B400" s="330" t="s">
        <v>1220</v>
      </c>
      <c r="C400" s="308">
        <v>1</v>
      </c>
      <c r="D400">
        <v>39219019</v>
      </c>
      <c r="E400" s="309">
        <v>40361.599999999999</v>
      </c>
      <c r="F400" s="306">
        <v>40361.599999999999</v>
      </c>
      <c r="G400" t="s">
        <v>1385</v>
      </c>
      <c r="H400" s="78">
        <v>1780</v>
      </c>
    </row>
    <row r="401" spans="1:8" x14ac:dyDescent="0.3">
      <c r="A401" s="31" t="s">
        <v>1257</v>
      </c>
      <c r="B401" s="330" t="s">
        <v>1220</v>
      </c>
      <c r="C401" s="308">
        <v>2</v>
      </c>
      <c r="D401">
        <v>85068090</v>
      </c>
      <c r="E401" s="309">
        <v>635</v>
      </c>
      <c r="F401" s="306">
        <v>1270</v>
      </c>
      <c r="G401" t="s">
        <v>1580</v>
      </c>
      <c r="H401" s="78">
        <v>1781</v>
      </c>
    </row>
    <row r="402" spans="1:8" x14ac:dyDescent="0.3">
      <c r="A402" s="31" t="s">
        <v>1228</v>
      </c>
      <c r="B402" s="330" t="s">
        <v>1220</v>
      </c>
      <c r="C402" s="308">
        <v>3</v>
      </c>
      <c r="D402">
        <v>83024900</v>
      </c>
      <c r="E402" s="309">
        <v>723</v>
      </c>
      <c r="F402" s="306">
        <v>2169</v>
      </c>
      <c r="G402" t="s">
        <v>1378</v>
      </c>
      <c r="H402" s="78">
        <v>1782</v>
      </c>
    </row>
    <row r="403" spans="1:8" x14ac:dyDescent="0.3">
      <c r="A403" s="31" t="s">
        <v>1286</v>
      </c>
      <c r="B403" s="330" t="s">
        <v>1220</v>
      </c>
      <c r="C403" s="308">
        <v>2</v>
      </c>
      <c r="D403">
        <v>85365090</v>
      </c>
      <c r="E403" s="309">
        <v>566</v>
      </c>
      <c r="F403" s="306">
        <v>1132</v>
      </c>
      <c r="G403" t="s">
        <v>1378</v>
      </c>
      <c r="H403" s="78">
        <v>1782</v>
      </c>
    </row>
    <row r="404" spans="1:8" x14ac:dyDescent="0.3">
      <c r="A404" s="31" t="s">
        <v>1296</v>
      </c>
      <c r="B404" s="330" t="s">
        <v>1240</v>
      </c>
      <c r="C404" s="308">
        <v>9.4499999999999993</v>
      </c>
      <c r="D404">
        <v>70072900</v>
      </c>
      <c r="E404" s="309">
        <v>470</v>
      </c>
      <c r="F404" s="306">
        <v>4441.5</v>
      </c>
      <c r="G404" t="s">
        <v>1378</v>
      </c>
      <c r="H404" s="78">
        <v>1782</v>
      </c>
    </row>
    <row r="405" spans="1:8" x14ac:dyDescent="0.3">
      <c r="A405" s="31" t="s">
        <v>1404</v>
      </c>
      <c r="B405" s="330" t="s">
        <v>1220</v>
      </c>
      <c r="C405" s="308">
        <v>3</v>
      </c>
      <c r="D405">
        <v>72061000</v>
      </c>
      <c r="E405" s="309">
        <v>1680</v>
      </c>
      <c r="F405" s="306">
        <v>5040</v>
      </c>
      <c r="G405" t="s">
        <v>1378</v>
      </c>
      <c r="H405" s="78">
        <v>1782</v>
      </c>
    </row>
    <row r="406" spans="1:8" x14ac:dyDescent="0.3">
      <c r="A406" s="31" t="s">
        <v>1285</v>
      </c>
      <c r="B406" s="330" t="s">
        <v>1220</v>
      </c>
      <c r="C406" s="308">
        <v>1</v>
      </c>
      <c r="D406">
        <v>39219019</v>
      </c>
      <c r="E406" s="309">
        <v>40000</v>
      </c>
      <c r="F406" s="306">
        <v>40000</v>
      </c>
      <c r="G406" t="s">
        <v>1385</v>
      </c>
      <c r="H406" s="78">
        <v>1783</v>
      </c>
    </row>
    <row r="407" spans="1:8" x14ac:dyDescent="0.3">
      <c r="A407" s="31" t="s">
        <v>1706</v>
      </c>
      <c r="B407" s="330" t="s">
        <v>1220</v>
      </c>
      <c r="C407" s="308">
        <v>1</v>
      </c>
      <c r="D407">
        <v>39219019</v>
      </c>
      <c r="E407" s="309">
        <v>10912.5</v>
      </c>
      <c r="F407" s="306">
        <v>10912.5</v>
      </c>
      <c r="G407" t="s">
        <v>1582</v>
      </c>
      <c r="H407" s="78">
        <v>1784</v>
      </c>
    </row>
    <row r="408" spans="1:8" x14ac:dyDescent="0.3">
      <c r="A408" s="31" t="s">
        <v>1707</v>
      </c>
      <c r="B408" s="330" t="s">
        <v>1220</v>
      </c>
      <c r="C408" s="308">
        <v>1</v>
      </c>
      <c r="D408">
        <v>39219019</v>
      </c>
      <c r="E408" s="309">
        <v>1332</v>
      </c>
      <c r="F408" s="306">
        <v>1332</v>
      </c>
      <c r="G408" t="s">
        <v>1582</v>
      </c>
      <c r="H408" s="78">
        <v>1784</v>
      </c>
    </row>
    <row r="409" spans="1:8" x14ac:dyDescent="0.3">
      <c r="A409" s="31" t="s">
        <v>1705</v>
      </c>
      <c r="B409" s="330" t="s">
        <v>1220</v>
      </c>
      <c r="C409" s="308">
        <v>2</v>
      </c>
      <c r="D409">
        <v>85261000</v>
      </c>
      <c r="E409" s="309">
        <v>2790</v>
      </c>
      <c r="F409" s="306">
        <v>5580</v>
      </c>
      <c r="G409" t="s">
        <v>1385</v>
      </c>
      <c r="H409" s="78">
        <v>1785</v>
      </c>
    </row>
    <row r="410" spans="1:8" x14ac:dyDescent="0.3">
      <c r="A410" s="31" t="s">
        <v>1285</v>
      </c>
      <c r="B410" s="330" t="s">
        <v>1220</v>
      </c>
      <c r="C410" s="308">
        <v>1</v>
      </c>
      <c r="D410">
        <v>39219019</v>
      </c>
      <c r="E410" s="309">
        <v>47890</v>
      </c>
      <c r="F410" s="306">
        <v>47890</v>
      </c>
      <c r="G410" t="s">
        <v>1582</v>
      </c>
      <c r="H410" s="78">
        <v>1786</v>
      </c>
    </row>
    <row r="411" spans="1:8" x14ac:dyDescent="0.3">
      <c r="A411" s="31" t="s">
        <v>1185</v>
      </c>
      <c r="B411" s="330" t="s">
        <v>1220</v>
      </c>
      <c r="C411" s="308">
        <v>1</v>
      </c>
      <c r="D411">
        <v>84798999</v>
      </c>
      <c r="E411" s="309">
        <v>10900</v>
      </c>
      <c r="F411" s="306">
        <v>10900</v>
      </c>
      <c r="G411" t="s">
        <v>1704</v>
      </c>
      <c r="H411" s="78">
        <v>1788</v>
      </c>
    </row>
    <row r="412" spans="1:8" x14ac:dyDescent="0.3">
      <c r="A412" s="31" t="s">
        <v>1186</v>
      </c>
      <c r="B412" s="330" t="s">
        <v>1220</v>
      </c>
      <c r="C412" s="308">
        <v>1</v>
      </c>
      <c r="D412">
        <v>83024900</v>
      </c>
      <c r="E412" s="309">
        <v>450</v>
      </c>
      <c r="F412" s="306">
        <v>450</v>
      </c>
      <c r="G412" t="s">
        <v>1704</v>
      </c>
      <c r="H412" s="78">
        <v>1788</v>
      </c>
    </row>
    <row r="413" spans="1:8" x14ac:dyDescent="0.3">
      <c r="A413" s="31" t="s">
        <v>1224</v>
      </c>
      <c r="B413" s="330" t="s">
        <v>1220</v>
      </c>
      <c r="C413" s="308">
        <v>1</v>
      </c>
      <c r="D413">
        <v>85261000</v>
      </c>
      <c r="E413" s="309">
        <v>850</v>
      </c>
      <c r="F413" s="306">
        <v>850</v>
      </c>
      <c r="G413" t="s">
        <v>1704</v>
      </c>
      <c r="H413" s="78">
        <v>1788</v>
      </c>
    </row>
    <row r="414" spans="1:8" x14ac:dyDescent="0.3">
      <c r="A414" s="31" t="s">
        <v>1225</v>
      </c>
      <c r="B414" s="330" t="s">
        <v>1220</v>
      </c>
      <c r="C414" s="308">
        <v>1</v>
      </c>
      <c r="D414">
        <v>84798999</v>
      </c>
      <c r="E414" s="309">
        <v>1600</v>
      </c>
      <c r="F414" s="306">
        <v>1600</v>
      </c>
      <c r="G414" t="s">
        <v>1704</v>
      </c>
      <c r="H414" s="78">
        <v>1788</v>
      </c>
    </row>
    <row r="415" spans="1:8" x14ac:dyDescent="0.3">
      <c r="A415" s="31" t="s">
        <v>1226</v>
      </c>
      <c r="B415" s="330" t="s">
        <v>1220</v>
      </c>
      <c r="C415" s="308">
        <v>1</v>
      </c>
      <c r="D415">
        <v>85423190</v>
      </c>
      <c r="E415" s="309">
        <v>625</v>
      </c>
      <c r="F415" s="306">
        <v>625</v>
      </c>
      <c r="G415" t="s">
        <v>1704</v>
      </c>
      <c r="H415" s="78">
        <v>1788</v>
      </c>
    </row>
    <row r="416" spans="1:8" x14ac:dyDescent="0.3">
      <c r="A416" s="31" t="s">
        <v>1227</v>
      </c>
      <c r="B416" s="330" t="s">
        <v>1220</v>
      </c>
      <c r="C416" s="308">
        <v>2</v>
      </c>
      <c r="D416">
        <v>76101000</v>
      </c>
      <c r="E416" s="309">
        <v>481.5</v>
      </c>
      <c r="F416" s="306">
        <v>963</v>
      </c>
      <c r="G416" t="s">
        <v>1704</v>
      </c>
      <c r="H416" s="78">
        <v>1788</v>
      </c>
    </row>
    <row r="417" spans="1:8" x14ac:dyDescent="0.3">
      <c r="A417" s="31" t="s">
        <v>1274</v>
      </c>
      <c r="B417" s="330" t="s">
        <v>1220</v>
      </c>
      <c r="C417" s="308">
        <v>2</v>
      </c>
      <c r="D417">
        <v>39204900</v>
      </c>
      <c r="E417" s="309">
        <v>190</v>
      </c>
      <c r="F417" s="306">
        <v>380</v>
      </c>
      <c r="G417" t="s">
        <v>1704</v>
      </c>
      <c r="H417" s="78">
        <v>1788</v>
      </c>
    </row>
    <row r="418" spans="1:8" x14ac:dyDescent="0.3">
      <c r="A418" s="31" t="s">
        <v>1296</v>
      </c>
      <c r="B418" s="330" t="s">
        <v>1240</v>
      </c>
      <c r="C418" s="308">
        <v>4.82</v>
      </c>
      <c r="D418">
        <v>70072900</v>
      </c>
      <c r="E418" s="309">
        <v>470</v>
      </c>
      <c r="F418" s="306">
        <v>2265.4</v>
      </c>
      <c r="G418" t="s">
        <v>1704</v>
      </c>
      <c r="H418" s="78">
        <v>1788</v>
      </c>
    </row>
    <row r="419" spans="1:8" x14ac:dyDescent="0.3">
      <c r="A419" s="31" t="s">
        <v>1249</v>
      </c>
      <c r="B419" s="330" t="s">
        <v>1220</v>
      </c>
      <c r="C419" s="308">
        <v>1</v>
      </c>
      <c r="D419">
        <v>84798999</v>
      </c>
      <c r="E419" s="309">
        <v>14900</v>
      </c>
      <c r="F419" s="306">
        <v>14900</v>
      </c>
      <c r="G419" t="s">
        <v>1702</v>
      </c>
      <c r="H419" s="78">
        <v>1790</v>
      </c>
    </row>
    <row r="420" spans="1:8" x14ac:dyDescent="0.3">
      <c r="A420" s="31" t="s">
        <v>1223</v>
      </c>
      <c r="B420" s="330" t="s">
        <v>1220</v>
      </c>
      <c r="C420" s="308">
        <v>1</v>
      </c>
      <c r="D420">
        <v>83024900</v>
      </c>
      <c r="E420" s="309">
        <v>642</v>
      </c>
      <c r="F420" s="306">
        <v>642</v>
      </c>
      <c r="G420" t="s">
        <v>1702</v>
      </c>
      <c r="H420" s="78">
        <v>1790</v>
      </c>
    </row>
    <row r="421" spans="1:8" x14ac:dyDescent="0.3">
      <c r="A421" s="31" t="s">
        <v>1224</v>
      </c>
      <c r="B421" s="330" t="s">
        <v>1220</v>
      </c>
      <c r="C421" s="308">
        <v>1</v>
      </c>
      <c r="D421">
        <v>85261000</v>
      </c>
      <c r="E421" s="309">
        <v>850</v>
      </c>
      <c r="F421" s="306">
        <v>850</v>
      </c>
      <c r="G421" t="s">
        <v>1702</v>
      </c>
      <c r="H421" s="78">
        <v>1790</v>
      </c>
    </row>
    <row r="422" spans="1:8" x14ac:dyDescent="0.3">
      <c r="A422" s="31" t="s">
        <v>1225</v>
      </c>
      <c r="B422" s="330" t="s">
        <v>1220</v>
      </c>
      <c r="C422" s="308">
        <v>1</v>
      </c>
      <c r="D422">
        <v>84798999</v>
      </c>
      <c r="E422" s="309">
        <v>1600</v>
      </c>
      <c r="F422" s="306">
        <v>1600</v>
      </c>
      <c r="G422" t="s">
        <v>1702</v>
      </c>
      <c r="H422" s="78">
        <v>1790</v>
      </c>
    </row>
    <row r="423" spans="1:8" x14ac:dyDescent="0.3">
      <c r="A423" s="31" t="s">
        <v>1226</v>
      </c>
      <c r="B423" s="330" t="s">
        <v>1220</v>
      </c>
      <c r="C423" s="308">
        <v>1</v>
      </c>
      <c r="D423">
        <v>85423190</v>
      </c>
      <c r="E423" s="309">
        <v>625</v>
      </c>
      <c r="F423" s="306">
        <v>625</v>
      </c>
      <c r="G423" t="s">
        <v>1702</v>
      </c>
      <c r="H423" s="78">
        <v>1790</v>
      </c>
    </row>
    <row r="424" spans="1:8" x14ac:dyDescent="0.3">
      <c r="A424" s="31" t="s">
        <v>1228</v>
      </c>
      <c r="B424" s="330" t="s">
        <v>1220</v>
      </c>
      <c r="C424" s="308">
        <v>1</v>
      </c>
      <c r="D424">
        <v>83024900</v>
      </c>
      <c r="E424" s="309">
        <v>723</v>
      </c>
      <c r="F424" s="306">
        <v>723</v>
      </c>
      <c r="G424" t="s">
        <v>1702</v>
      </c>
      <c r="H424" s="78">
        <v>1790</v>
      </c>
    </row>
    <row r="425" spans="1:8" x14ac:dyDescent="0.3">
      <c r="A425" s="31" t="s">
        <v>1280</v>
      </c>
      <c r="B425" s="330" t="s">
        <v>1220</v>
      </c>
      <c r="C425" s="308">
        <v>1</v>
      </c>
      <c r="D425">
        <v>72163100</v>
      </c>
      <c r="E425" s="309">
        <v>1280</v>
      </c>
      <c r="F425" s="306">
        <v>1280</v>
      </c>
      <c r="G425" t="s">
        <v>1702</v>
      </c>
      <c r="H425" s="78">
        <v>1790</v>
      </c>
    </row>
    <row r="426" spans="1:8" x14ac:dyDescent="0.3">
      <c r="A426" s="31" t="s">
        <v>1242</v>
      </c>
      <c r="B426" s="330" t="s">
        <v>1220</v>
      </c>
      <c r="C426" s="308">
        <v>2</v>
      </c>
      <c r="D426">
        <v>76042100</v>
      </c>
      <c r="E426" s="309">
        <v>1980</v>
      </c>
      <c r="F426" s="306">
        <v>3960</v>
      </c>
      <c r="G426" t="s">
        <v>1702</v>
      </c>
      <c r="H426" s="78">
        <v>1790</v>
      </c>
    </row>
    <row r="427" spans="1:8" x14ac:dyDescent="0.3">
      <c r="A427" s="31" t="s">
        <v>1243</v>
      </c>
      <c r="B427" s="330" t="s">
        <v>1220</v>
      </c>
      <c r="C427" s="308">
        <v>2</v>
      </c>
      <c r="D427">
        <v>76042100</v>
      </c>
      <c r="E427" s="309">
        <v>1980</v>
      </c>
      <c r="F427" s="306">
        <v>3960</v>
      </c>
      <c r="G427" t="s">
        <v>1702</v>
      </c>
      <c r="H427" s="78">
        <v>1790</v>
      </c>
    </row>
    <row r="428" spans="1:8" x14ac:dyDescent="0.3">
      <c r="A428" s="31" t="s">
        <v>1247</v>
      </c>
      <c r="B428" s="330" t="s">
        <v>1220</v>
      </c>
      <c r="C428" s="308">
        <v>1</v>
      </c>
      <c r="D428">
        <v>85423190</v>
      </c>
      <c r="E428" s="309">
        <v>5372.64</v>
      </c>
      <c r="F428" s="306">
        <v>5372.64</v>
      </c>
      <c r="G428" t="s">
        <v>1708</v>
      </c>
      <c r="H428" s="78">
        <v>1791</v>
      </c>
    </row>
    <row r="429" spans="1:8" x14ac:dyDescent="0.3">
      <c r="A429" s="31" t="s">
        <v>1224</v>
      </c>
      <c r="B429" s="330" t="s">
        <v>1220</v>
      </c>
      <c r="C429" s="308">
        <v>1</v>
      </c>
      <c r="D429">
        <v>85261000</v>
      </c>
      <c r="E429" s="309">
        <v>1520</v>
      </c>
      <c r="F429" s="306">
        <v>1520</v>
      </c>
      <c r="G429" t="s">
        <v>718</v>
      </c>
      <c r="H429" s="78">
        <v>1792</v>
      </c>
    </row>
    <row r="430" spans="1:8" x14ac:dyDescent="0.3">
      <c r="A430" s="31" t="s">
        <v>1711</v>
      </c>
      <c r="B430" s="330" t="s">
        <v>1710</v>
      </c>
      <c r="C430" s="308">
        <v>1</v>
      </c>
      <c r="D430">
        <v>85308090</v>
      </c>
      <c r="E430" s="309">
        <v>89</v>
      </c>
      <c r="F430" s="306">
        <v>89</v>
      </c>
      <c r="G430" t="s">
        <v>1709</v>
      </c>
      <c r="H430" s="78">
        <v>1793</v>
      </c>
    </row>
    <row r="431" spans="1:8" x14ac:dyDescent="0.3">
      <c r="A431" s="31" t="s">
        <v>1712</v>
      </c>
      <c r="B431" s="330" t="s">
        <v>1220</v>
      </c>
      <c r="C431" s="308">
        <v>1</v>
      </c>
      <c r="D431">
        <v>85437099</v>
      </c>
      <c r="E431" s="309">
        <v>782.25</v>
      </c>
      <c r="F431" s="306">
        <v>782.25</v>
      </c>
      <c r="G431" t="s">
        <v>1709</v>
      </c>
      <c r="H431" s="78">
        <v>1793</v>
      </c>
    </row>
    <row r="432" spans="1:8" x14ac:dyDescent="0.3">
      <c r="A432" s="31" t="s">
        <v>1290</v>
      </c>
      <c r="B432" s="330" t="s">
        <v>1220</v>
      </c>
      <c r="C432" s="308">
        <v>1</v>
      </c>
      <c r="D432">
        <v>84798999</v>
      </c>
      <c r="E432" s="309">
        <v>9000</v>
      </c>
      <c r="F432" s="306">
        <v>9000</v>
      </c>
      <c r="G432" t="s">
        <v>1713</v>
      </c>
      <c r="H432" s="78">
        <v>1794</v>
      </c>
    </row>
    <row r="433" spans="1:8" x14ac:dyDescent="0.3">
      <c r="A433" s="31" t="s">
        <v>1186</v>
      </c>
      <c r="B433" s="330" t="s">
        <v>1220</v>
      </c>
      <c r="C433" s="308">
        <v>1</v>
      </c>
      <c r="D433">
        <v>83024900</v>
      </c>
      <c r="E433" s="309">
        <v>450</v>
      </c>
      <c r="F433" s="306">
        <v>450</v>
      </c>
      <c r="G433" t="s">
        <v>1713</v>
      </c>
      <c r="H433" s="78">
        <v>1794</v>
      </c>
    </row>
    <row r="434" spans="1:8" x14ac:dyDescent="0.3">
      <c r="A434" s="31" t="s">
        <v>1224</v>
      </c>
      <c r="B434" s="330" t="s">
        <v>1220</v>
      </c>
      <c r="C434" s="308">
        <v>1</v>
      </c>
      <c r="D434">
        <v>85261000</v>
      </c>
      <c r="E434" s="309">
        <v>850</v>
      </c>
      <c r="F434" s="306">
        <v>850</v>
      </c>
      <c r="G434" t="s">
        <v>1713</v>
      </c>
      <c r="H434" s="78">
        <v>1794</v>
      </c>
    </row>
    <row r="435" spans="1:8" x14ac:dyDescent="0.3">
      <c r="A435" s="31" t="s">
        <v>1225</v>
      </c>
      <c r="B435" s="330" t="s">
        <v>1220</v>
      </c>
      <c r="C435" s="308">
        <v>1</v>
      </c>
      <c r="D435">
        <v>84798999</v>
      </c>
      <c r="E435" s="309">
        <v>1600</v>
      </c>
      <c r="F435" s="306">
        <v>1600</v>
      </c>
      <c r="G435" t="s">
        <v>1713</v>
      </c>
      <c r="H435" s="78">
        <v>1794</v>
      </c>
    </row>
    <row r="436" spans="1:8" x14ac:dyDescent="0.3">
      <c r="A436" s="31" t="s">
        <v>1226</v>
      </c>
      <c r="B436" s="330" t="s">
        <v>1220</v>
      </c>
      <c r="C436" s="308">
        <v>1</v>
      </c>
      <c r="D436">
        <v>85423190</v>
      </c>
      <c r="E436" s="309">
        <v>625</v>
      </c>
      <c r="F436" s="306">
        <v>625</v>
      </c>
      <c r="G436" t="s">
        <v>1713</v>
      </c>
      <c r="H436" s="78">
        <v>1794</v>
      </c>
    </row>
    <row r="437" spans="1:8" x14ac:dyDescent="0.3">
      <c r="A437" s="31" t="s">
        <v>1291</v>
      </c>
      <c r="B437" s="330" t="s">
        <v>1220</v>
      </c>
      <c r="C437" s="308">
        <v>1</v>
      </c>
      <c r="D437">
        <v>83024900</v>
      </c>
      <c r="E437" s="309">
        <v>723</v>
      </c>
      <c r="F437" s="306">
        <v>723</v>
      </c>
      <c r="G437" t="s">
        <v>1713</v>
      </c>
      <c r="H437" s="78">
        <v>1794</v>
      </c>
    </row>
    <row r="438" spans="1:8" x14ac:dyDescent="0.3">
      <c r="A438" s="31" t="s">
        <v>1227</v>
      </c>
      <c r="B438" s="330" t="s">
        <v>1220</v>
      </c>
      <c r="C438" s="308">
        <v>1</v>
      </c>
      <c r="D438">
        <v>76101000</v>
      </c>
      <c r="E438" s="309">
        <v>481.5</v>
      </c>
      <c r="F438" s="306">
        <v>481.5</v>
      </c>
      <c r="G438" t="s">
        <v>1713</v>
      </c>
      <c r="H438" s="78">
        <v>1794</v>
      </c>
    </row>
    <row r="439" spans="1:8" x14ac:dyDescent="0.3">
      <c r="A439" s="31" t="s">
        <v>1292</v>
      </c>
      <c r="B439" s="330" t="s">
        <v>1220</v>
      </c>
      <c r="C439" s="308">
        <v>1</v>
      </c>
      <c r="D439">
        <v>76101000</v>
      </c>
      <c r="E439" s="309">
        <v>663.4</v>
      </c>
      <c r="F439" s="306">
        <v>663.4</v>
      </c>
      <c r="G439" t="s">
        <v>1713</v>
      </c>
      <c r="H439" s="78">
        <v>1794</v>
      </c>
    </row>
    <row r="440" spans="1:8" x14ac:dyDescent="0.3">
      <c r="A440" s="31" t="s">
        <v>1280</v>
      </c>
      <c r="B440" s="330" t="s">
        <v>1220</v>
      </c>
      <c r="C440" s="308">
        <v>1</v>
      </c>
      <c r="D440">
        <v>72163100</v>
      </c>
      <c r="E440" s="309">
        <v>1280</v>
      </c>
      <c r="F440" s="306">
        <v>1280</v>
      </c>
      <c r="G440" t="s">
        <v>1713</v>
      </c>
      <c r="H440" s="78">
        <v>1794</v>
      </c>
    </row>
    <row r="441" spans="1:8" x14ac:dyDescent="0.3">
      <c r="A441" s="31" t="s">
        <v>1296</v>
      </c>
      <c r="B441" s="330" t="s">
        <v>1240</v>
      </c>
      <c r="C441" s="308">
        <v>5.28</v>
      </c>
      <c r="D441">
        <v>70072900</v>
      </c>
      <c r="E441" s="309">
        <v>470</v>
      </c>
      <c r="F441" s="306">
        <v>2481.6</v>
      </c>
      <c r="G441" t="s">
        <v>1713</v>
      </c>
      <c r="H441" s="78">
        <v>1794</v>
      </c>
    </row>
    <row r="442" spans="1:8" x14ac:dyDescent="0.3">
      <c r="A442" s="31" t="s">
        <v>1290</v>
      </c>
      <c r="B442" s="330" t="s">
        <v>1220</v>
      </c>
      <c r="C442" s="308">
        <v>1</v>
      </c>
      <c r="D442">
        <v>84798999</v>
      </c>
      <c r="E442" s="309">
        <v>9000</v>
      </c>
      <c r="F442" s="306">
        <v>9000</v>
      </c>
      <c r="G442" t="s">
        <v>1713</v>
      </c>
      <c r="H442" s="78">
        <v>1795</v>
      </c>
    </row>
    <row r="443" spans="1:8" x14ac:dyDescent="0.3">
      <c r="A443" s="31" t="s">
        <v>1186</v>
      </c>
      <c r="B443" s="330" t="s">
        <v>1220</v>
      </c>
      <c r="C443" s="308">
        <v>1</v>
      </c>
      <c r="D443">
        <v>83024900</v>
      </c>
      <c r="E443" s="309">
        <v>450</v>
      </c>
      <c r="F443" s="306">
        <v>450</v>
      </c>
      <c r="G443" t="s">
        <v>1713</v>
      </c>
      <c r="H443" s="78">
        <v>1795</v>
      </c>
    </row>
    <row r="444" spans="1:8" x14ac:dyDescent="0.3">
      <c r="A444" s="31" t="s">
        <v>1224</v>
      </c>
      <c r="B444" s="330" t="s">
        <v>1220</v>
      </c>
      <c r="C444" s="308">
        <v>1</v>
      </c>
      <c r="D444">
        <v>85261000</v>
      </c>
      <c r="E444" s="309">
        <v>850</v>
      </c>
      <c r="F444" s="306">
        <v>850</v>
      </c>
      <c r="G444" t="s">
        <v>1713</v>
      </c>
      <c r="H444" s="78">
        <v>1795</v>
      </c>
    </row>
    <row r="445" spans="1:8" x14ac:dyDescent="0.3">
      <c r="A445" s="31" t="s">
        <v>1225</v>
      </c>
      <c r="B445" s="330" t="s">
        <v>1220</v>
      </c>
      <c r="C445" s="308">
        <v>1</v>
      </c>
      <c r="D445">
        <v>84798999</v>
      </c>
      <c r="E445" s="309">
        <v>1600</v>
      </c>
      <c r="F445" s="306">
        <v>1600</v>
      </c>
      <c r="G445" t="s">
        <v>1713</v>
      </c>
      <c r="H445" s="78">
        <v>1795</v>
      </c>
    </row>
    <row r="446" spans="1:8" x14ac:dyDescent="0.3">
      <c r="A446" s="31" t="s">
        <v>1226</v>
      </c>
      <c r="B446" s="330" t="s">
        <v>1220</v>
      </c>
      <c r="C446" s="308">
        <v>1</v>
      </c>
      <c r="D446">
        <v>85423190</v>
      </c>
      <c r="E446" s="309">
        <v>625</v>
      </c>
      <c r="F446" s="306">
        <v>625</v>
      </c>
      <c r="G446" t="s">
        <v>1713</v>
      </c>
      <c r="H446" s="78">
        <v>1795</v>
      </c>
    </row>
    <row r="447" spans="1:8" x14ac:dyDescent="0.3">
      <c r="A447" s="31" t="s">
        <v>1291</v>
      </c>
      <c r="B447" s="330" t="s">
        <v>1220</v>
      </c>
      <c r="C447" s="308">
        <v>1</v>
      </c>
      <c r="D447">
        <v>83024900</v>
      </c>
      <c r="E447" s="309">
        <v>723</v>
      </c>
      <c r="F447" s="306">
        <v>723</v>
      </c>
      <c r="G447" t="s">
        <v>1713</v>
      </c>
      <c r="H447" s="78">
        <v>1795</v>
      </c>
    </row>
    <row r="448" spans="1:8" x14ac:dyDescent="0.3">
      <c r="A448" s="31" t="s">
        <v>1227</v>
      </c>
      <c r="B448" s="330" t="s">
        <v>1220</v>
      </c>
      <c r="C448" s="308">
        <v>1</v>
      </c>
      <c r="D448">
        <v>76101000</v>
      </c>
      <c r="E448" s="309">
        <v>481.5</v>
      </c>
      <c r="F448" s="306">
        <v>481.5</v>
      </c>
      <c r="G448" t="s">
        <v>1713</v>
      </c>
      <c r="H448" s="78">
        <v>1795</v>
      </c>
    </row>
    <row r="449" spans="1:8" x14ac:dyDescent="0.3">
      <c r="A449" s="31" t="s">
        <v>1292</v>
      </c>
      <c r="B449" s="330" t="s">
        <v>1220</v>
      </c>
      <c r="C449" s="308">
        <v>1</v>
      </c>
      <c r="D449">
        <v>76101000</v>
      </c>
      <c r="E449" s="309">
        <v>663.4</v>
      </c>
      <c r="F449" s="306">
        <v>663.4</v>
      </c>
      <c r="G449" t="s">
        <v>1713</v>
      </c>
      <c r="H449" s="78">
        <v>1795</v>
      </c>
    </row>
    <row r="450" spans="1:8" x14ac:dyDescent="0.3">
      <c r="A450" s="31" t="s">
        <v>1280</v>
      </c>
      <c r="B450" s="330" t="s">
        <v>1220</v>
      </c>
      <c r="C450" s="308">
        <v>1</v>
      </c>
      <c r="D450">
        <v>72163100</v>
      </c>
      <c r="E450" s="309">
        <v>980</v>
      </c>
      <c r="F450" s="306">
        <v>980</v>
      </c>
      <c r="G450" t="s">
        <v>1713</v>
      </c>
      <c r="H450" s="78">
        <v>1795</v>
      </c>
    </row>
    <row r="451" spans="1:8" x14ac:dyDescent="0.3">
      <c r="A451" s="31" t="s">
        <v>1296</v>
      </c>
      <c r="B451" s="330" t="s">
        <v>1240</v>
      </c>
      <c r="C451" s="308">
        <v>3.8</v>
      </c>
      <c r="D451">
        <v>70072900</v>
      </c>
      <c r="E451" s="309">
        <v>470</v>
      </c>
      <c r="F451" s="306">
        <v>1786</v>
      </c>
      <c r="G451" t="s">
        <v>1713</v>
      </c>
      <c r="H451" s="78">
        <v>1795</v>
      </c>
    </row>
    <row r="452" spans="1:8" x14ac:dyDescent="0.3">
      <c r="A452" s="31" t="s">
        <v>1561</v>
      </c>
      <c r="B452" s="330" t="s">
        <v>1220</v>
      </c>
      <c r="C452" s="308">
        <v>1</v>
      </c>
      <c r="D452">
        <v>84799090</v>
      </c>
      <c r="E452" s="309">
        <v>6248.56</v>
      </c>
      <c r="F452" s="306">
        <v>6248.56</v>
      </c>
      <c r="G452" t="s">
        <v>1714</v>
      </c>
      <c r="H452" s="78">
        <v>1796</v>
      </c>
    </row>
    <row r="453" spans="1:8" x14ac:dyDescent="0.3">
      <c r="A453" s="31" t="s">
        <v>1226</v>
      </c>
      <c r="B453" s="330" t="s">
        <v>1220</v>
      </c>
      <c r="C453" s="308">
        <v>1</v>
      </c>
      <c r="D453">
        <v>85423190</v>
      </c>
      <c r="E453" s="309">
        <v>1016</v>
      </c>
      <c r="F453" s="306">
        <v>1016</v>
      </c>
      <c r="G453" t="s">
        <v>1714</v>
      </c>
      <c r="H453" s="78">
        <v>1796</v>
      </c>
    </row>
    <row r="454" spans="1:8" x14ac:dyDescent="0.3">
      <c r="A454" s="31" t="s">
        <v>1249</v>
      </c>
      <c r="B454" s="330" t="s">
        <v>1220</v>
      </c>
      <c r="C454" s="308">
        <v>1</v>
      </c>
      <c r="D454">
        <v>84798999</v>
      </c>
      <c r="E454" s="309">
        <v>14900</v>
      </c>
      <c r="F454" s="306">
        <v>14900</v>
      </c>
      <c r="G454" t="s">
        <v>1752</v>
      </c>
      <c r="H454" s="78">
        <v>1804</v>
      </c>
    </row>
    <row r="455" spans="1:8" x14ac:dyDescent="0.3">
      <c r="A455" s="31" t="s">
        <v>1223</v>
      </c>
      <c r="B455" s="330" t="s">
        <v>1220</v>
      </c>
      <c r="C455" s="308">
        <v>1</v>
      </c>
      <c r="D455">
        <v>83024900</v>
      </c>
      <c r="E455" s="309">
        <v>642</v>
      </c>
      <c r="F455" s="306">
        <v>642</v>
      </c>
      <c r="G455" t="s">
        <v>1752</v>
      </c>
      <c r="H455" s="78">
        <v>1804</v>
      </c>
    </row>
    <row r="456" spans="1:8" x14ac:dyDescent="0.3">
      <c r="A456" s="31" t="s">
        <v>1228</v>
      </c>
      <c r="B456" s="330" t="s">
        <v>1220</v>
      </c>
      <c r="C456" s="308">
        <v>1</v>
      </c>
      <c r="D456">
        <v>83024900</v>
      </c>
      <c r="E456" s="309">
        <v>723</v>
      </c>
      <c r="F456" s="306">
        <v>723</v>
      </c>
      <c r="G456" t="s">
        <v>1752</v>
      </c>
      <c r="H456" s="78">
        <v>1804</v>
      </c>
    </row>
    <row r="457" spans="1:8" x14ac:dyDescent="0.3">
      <c r="A457" s="31" t="s">
        <v>1256</v>
      </c>
      <c r="B457" s="330" t="s">
        <v>1220</v>
      </c>
      <c r="C457" s="308">
        <v>2</v>
      </c>
      <c r="D457">
        <v>83024900</v>
      </c>
      <c r="E457" s="309">
        <v>190.4</v>
      </c>
      <c r="F457" s="306">
        <v>380.8</v>
      </c>
      <c r="G457" t="s">
        <v>1752</v>
      </c>
      <c r="H457" s="78">
        <v>1804</v>
      </c>
    </row>
    <row r="458" spans="1:8" x14ac:dyDescent="0.3">
      <c r="A458" s="31" t="s">
        <v>1255</v>
      </c>
      <c r="B458" s="330" t="s">
        <v>1220</v>
      </c>
      <c r="C458" s="308">
        <v>2</v>
      </c>
      <c r="D458">
        <v>83024900</v>
      </c>
      <c r="E458" s="309">
        <v>190</v>
      </c>
      <c r="F458" s="306">
        <v>380</v>
      </c>
      <c r="G458" t="s">
        <v>1701</v>
      </c>
      <c r="H458" s="78">
        <v>1803</v>
      </c>
    </row>
    <row r="459" spans="1:8" x14ac:dyDescent="0.3">
      <c r="A459" s="31" t="s">
        <v>1600</v>
      </c>
      <c r="B459" s="330" t="s">
        <v>1220</v>
      </c>
      <c r="C459" s="308">
        <v>1</v>
      </c>
      <c r="D459">
        <v>40029990</v>
      </c>
      <c r="E459" s="309">
        <v>774</v>
      </c>
      <c r="F459" s="306">
        <v>774</v>
      </c>
      <c r="G459" t="s">
        <v>1701</v>
      </c>
      <c r="H459" s="78">
        <v>1803</v>
      </c>
    </row>
    <row r="460" spans="1:8" x14ac:dyDescent="0.3">
      <c r="A460" s="31" t="s">
        <v>1755</v>
      </c>
      <c r="B460" s="330" t="s">
        <v>1220</v>
      </c>
      <c r="C460" s="308">
        <v>2</v>
      </c>
      <c r="D460">
        <v>76042920</v>
      </c>
      <c r="E460" s="309">
        <v>2450</v>
      </c>
      <c r="F460" s="306">
        <v>4900</v>
      </c>
      <c r="G460" t="s">
        <v>1569</v>
      </c>
      <c r="H460" s="78">
        <v>1802</v>
      </c>
    </row>
    <row r="461" spans="1:8" x14ac:dyDescent="0.3">
      <c r="A461" s="31" t="s">
        <v>1756</v>
      </c>
      <c r="B461" s="330" t="s">
        <v>1220</v>
      </c>
      <c r="C461" s="308">
        <v>2</v>
      </c>
      <c r="D461">
        <v>76042920</v>
      </c>
      <c r="E461" s="309">
        <v>2450</v>
      </c>
      <c r="F461" s="306">
        <v>4900</v>
      </c>
      <c r="G461" t="s">
        <v>1569</v>
      </c>
      <c r="H461" s="78">
        <v>1802</v>
      </c>
    </row>
    <row r="462" spans="1:8" x14ac:dyDescent="0.3">
      <c r="A462" s="31" t="s">
        <v>1185</v>
      </c>
      <c r="B462" s="330" t="s">
        <v>1220</v>
      </c>
      <c r="C462" s="308">
        <v>1</v>
      </c>
      <c r="D462">
        <v>84798999</v>
      </c>
      <c r="E462" s="309">
        <v>10900</v>
      </c>
      <c r="F462" s="306">
        <v>10900</v>
      </c>
      <c r="G462" t="s">
        <v>1757</v>
      </c>
      <c r="H462" s="78">
        <v>1801</v>
      </c>
    </row>
    <row r="463" spans="1:8" x14ac:dyDescent="0.3">
      <c r="A463" s="31" t="s">
        <v>1186</v>
      </c>
      <c r="B463" s="330" t="s">
        <v>1220</v>
      </c>
      <c r="C463" s="308">
        <v>1</v>
      </c>
      <c r="D463">
        <v>83024900</v>
      </c>
      <c r="E463" s="309">
        <v>450</v>
      </c>
      <c r="F463" s="306">
        <v>450</v>
      </c>
      <c r="G463" t="s">
        <v>1757</v>
      </c>
      <c r="H463" s="78">
        <v>1801</v>
      </c>
    </row>
    <row r="464" spans="1:8" x14ac:dyDescent="0.3">
      <c r="A464" s="31" t="s">
        <v>1224</v>
      </c>
      <c r="B464" s="330" t="s">
        <v>1220</v>
      </c>
      <c r="C464" s="308">
        <v>1</v>
      </c>
      <c r="D464">
        <v>85261000</v>
      </c>
      <c r="E464" s="309">
        <v>850</v>
      </c>
      <c r="F464" s="306">
        <v>850</v>
      </c>
      <c r="G464" t="s">
        <v>1757</v>
      </c>
      <c r="H464" s="78">
        <v>1801</v>
      </c>
    </row>
    <row r="465" spans="1:8" x14ac:dyDescent="0.3">
      <c r="A465" s="31" t="s">
        <v>1225</v>
      </c>
      <c r="B465" s="330" t="s">
        <v>1220</v>
      </c>
      <c r="C465" s="308">
        <v>1</v>
      </c>
      <c r="D465">
        <v>84798999</v>
      </c>
      <c r="E465" s="309">
        <v>1600</v>
      </c>
      <c r="F465" s="306">
        <v>1600</v>
      </c>
      <c r="G465" t="s">
        <v>1757</v>
      </c>
      <c r="H465" s="78">
        <v>1801</v>
      </c>
    </row>
    <row r="466" spans="1:8" x14ac:dyDescent="0.3">
      <c r="A466" s="31" t="s">
        <v>1226</v>
      </c>
      <c r="B466" s="330" t="s">
        <v>1220</v>
      </c>
      <c r="C466" s="308">
        <v>1</v>
      </c>
      <c r="D466">
        <v>85423190</v>
      </c>
      <c r="E466" s="309">
        <v>625</v>
      </c>
      <c r="F466" s="306">
        <v>625</v>
      </c>
      <c r="G466" t="s">
        <v>1757</v>
      </c>
      <c r="H466" s="78">
        <v>1801</v>
      </c>
    </row>
    <row r="467" spans="1:8" x14ac:dyDescent="0.3">
      <c r="A467" s="31" t="s">
        <v>1242</v>
      </c>
      <c r="B467" s="330" t="s">
        <v>1220</v>
      </c>
      <c r="C467" s="308">
        <v>2</v>
      </c>
      <c r="D467">
        <v>76042100</v>
      </c>
      <c r="E467" s="309">
        <v>1980</v>
      </c>
      <c r="F467" s="306">
        <v>3960</v>
      </c>
      <c r="G467" t="s">
        <v>1757</v>
      </c>
      <c r="H467" s="78">
        <v>1801</v>
      </c>
    </row>
    <row r="468" spans="1:8" x14ac:dyDescent="0.3">
      <c r="A468" s="31" t="s">
        <v>1243</v>
      </c>
      <c r="B468" s="330" t="s">
        <v>1220</v>
      </c>
      <c r="C468" s="308">
        <v>2</v>
      </c>
      <c r="D468">
        <v>76042100</v>
      </c>
      <c r="E468" s="309">
        <v>1980</v>
      </c>
      <c r="F468" s="306">
        <v>3960</v>
      </c>
      <c r="G468" t="s">
        <v>1757</v>
      </c>
      <c r="H468" s="78">
        <v>1801</v>
      </c>
    </row>
    <row r="469" spans="1:8" x14ac:dyDescent="0.3">
      <c r="A469" s="31" t="s">
        <v>1769</v>
      </c>
      <c r="B469" s="330" t="s">
        <v>1240</v>
      </c>
      <c r="C469" s="308">
        <v>8.5</v>
      </c>
      <c r="D469">
        <v>70072900</v>
      </c>
      <c r="E469" s="309">
        <v>480</v>
      </c>
      <c r="F469" s="306">
        <v>4080</v>
      </c>
      <c r="G469" t="s">
        <v>1757</v>
      </c>
      <c r="H469" s="78">
        <v>1801</v>
      </c>
    </row>
    <row r="470" spans="1:8" x14ac:dyDescent="0.3">
      <c r="A470" s="31" t="s">
        <v>1275</v>
      </c>
      <c r="B470" s="330" t="s">
        <v>1220</v>
      </c>
      <c r="C470" s="308">
        <v>1</v>
      </c>
      <c r="D470">
        <v>85068090</v>
      </c>
      <c r="E470" s="309">
        <v>695.5</v>
      </c>
      <c r="F470" s="306">
        <v>695.5</v>
      </c>
      <c r="G470" t="s">
        <v>1317</v>
      </c>
      <c r="H470" s="78">
        <v>1800</v>
      </c>
    </row>
    <row r="471" spans="1:8" x14ac:dyDescent="0.3">
      <c r="A471" s="31" t="s">
        <v>1275</v>
      </c>
      <c r="B471" s="330" t="s">
        <v>1220</v>
      </c>
      <c r="C471" s="308">
        <v>1</v>
      </c>
      <c r="D471">
        <v>85068090</v>
      </c>
      <c r="E471" s="309">
        <v>695.5</v>
      </c>
      <c r="F471" s="346">
        <v>695.5</v>
      </c>
      <c r="G471" t="s">
        <v>1770</v>
      </c>
      <c r="H471" s="78">
        <v>1799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4C12-CF71-4CD3-8704-96086CEE2F11}">
  <sheetPr>
    <tabColor theme="8" tint="-0.499984740745262"/>
  </sheetPr>
  <dimension ref="A1:G11"/>
  <sheetViews>
    <sheetView showGridLines="0" workbookViewId="0">
      <selection activeCell="B2" sqref="B2:G9"/>
    </sheetView>
  </sheetViews>
  <sheetFormatPr defaultRowHeight="16.5" x14ac:dyDescent="0.3"/>
  <cols>
    <col min="1" max="1" width="3.625" style="1" bestFit="1" customWidth="1"/>
    <col min="2" max="2" width="49.75" bestFit="1" customWidth="1"/>
    <col min="3" max="3" width="11.125" style="1" bestFit="1" customWidth="1"/>
    <col min="4" max="4" width="10" style="1" customWidth="1"/>
    <col min="5" max="5" width="11.25" style="1" customWidth="1"/>
    <col min="6" max="6" width="13" style="10" bestFit="1" customWidth="1"/>
    <col min="7" max="7" width="13.375" style="10" customWidth="1"/>
  </cols>
  <sheetData>
    <row r="1" spans="1:7" s="3" customFormat="1" ht="17.25" thickBot="1" x14ac:dyDescent="0.35">
      <c r="A1" s="325" t="s">
        <v>1402</v>
      </c>
      <c r="B1" s="324" t="s">
        <v>981</v>
      </c>
      <c r="C1" s="325" t="s">
        <v>1215</v>
      </c>
      <c r="D1" s="325" t="s">
        <v>1216</v>
      </c>
      <c r="E1" s="325" t="s">
        <v>1217</v>
      </c>
      <c r="F1" s="326" t="s">
        <v>1218</v>
      </c>
      <c r="G1" s="326" t="s">
        <v>1219</v>
      </c>
    </row>
    <row r="2" spans="1:7" x14ac:dyDescent="0.3">
      <c r="A2" s="1" t="s">
        <v>1374</v>
      </c>
      <c r="B2" t="s">
        <v>1758</v>
      </c>
      <c r="C2" s="1" t="s">
        <v>1220</v>
      </c>
      <c r="D2" s="1">
        <v>1</v>
      </c>
      <c r="E2" s="1">
        <v>84798999</v>
      </c>
      <c r="F2" s="10">
        <v>10900</v>
      </c>
      <c r="G2" s="328">
        <v>10900</v>
      </c>
    </row>
    <row r="3" spans="1:7" x14ac:dyDescent="0.3">
      <c r="A3" s="1" t="s">
        <v>1370</v>
      </c>
      <c r="B3" t="s">
        <v>1759</v>
      </c>
      <c r="C3" s="1" t="s">
        <v>1220</v>
      </c>
      <c r="D3" s="1">
        <v>1</v>
      </c>
      <c r="E3" s="1">
        <v>83024900</v>
      </c>
      <c r="F3" s="10">
        <v>450</v>
      </c>
      <c r="G3" s="328">
        <v>450</v>
      </c>
    </row>
    <row r="4" spans="1:7" x14ac:dyDescent="0.3">
      <c r="A4" s="1" t="s">
        <v>1753</v>
      </c>
      <c r="B4" t="s">
        <v>1760</v>
      </c>
      <c r="C4" s="1" t="s">
        <v>1220</v>
      </c>
      <c r="D4" s="1">
        <v>1</v>
      </c>
      <c r="E4" s="1">
        <v>85261000</v>
      </c>
      <c r="F4" s="10">
        <v>850</v>
      </c>
      <c r="G4" s="328">
        <v>850</v>
      </c>
    </row>
    <row r="5" spans="1:7" x14ac:dyDescent="0.3">
      <c r="A5" s="1" t="s">
        <v>1754</v>
      </c>
      <c r="B5" t="s">
        <v>1761</v>
      </c>
      <c r="C5" s="1" t="s">
        <v>1220</v>
      </c>
      <c r="D5" s="1">
        <v>1</v>
      </c>
      <c r="E5" s="1">
        <v>84798999</v>
      </c>
      <c r="F5" s="10">
        <v>1600</v>
      </c>
      <c r="G5" s="328">
        <v>1600</v>
      </c>
    </row>
    <row r="6" spans="1:7" x14ac:dyDescent="0.3">
      <c r="A6" s="1" t="s">
        <v>1762</v>
      </c>
      <c r="B6" t="s">
        <v>1570</v>
      </c>
      <c r="C6" s="1" t="s">
        <v>1220</v>
      </c>
      <c r="D6" s="1">
        <v>1</v>
      </c>
      <c r="E6" s="1">
        <v>85423190</v>
      </c>
      <c r="F6" s="10">
        <v>625</v>
      </c>
      <c r="G6" s="328">
        <v>625</v>
      </c>
    </row>
    <row r="7" spans="1:7" x14ac:dyDescent="0.3">
      <c r="A7" s="1" t="s">
        <v>1763</v>
      </c>
      <c r="B7" t="s">
        <v>1764</v>
      </c>
      <c r="C7" s="1" t="s">
        <v>1220</v>
      </c>
      <c r="D7" s="1">
        <v>2</v>
      </c>
      <c r="E7" s="1">
        <v>76042100</v>
      </c>
      <c r="F7" s="10">
        <v>1980</v>
      </c>
      <c r="G7" s="328">
        <v>3960</v>
      </c>
    </row>
    <row r="8" spans="1:7" x14ac:dyDescent="0.3">
      <c r="A8" s="1" t="s">
        <v>1765</v>
      </c>
      <c r="B8" t="s">
        <v>1766</v>
      </c>
      <c r="C8" s="1" t="s">
        <v>1220</v>
      </c>
      <c r="D8" s="1">
        <v>2</v>
      </c>
      <c r="E8" s="1">
        <v>76042100</v>
      </c>
      <c r="F8" s="10">
        <v>1980</v>
      </c>
      <c r="G8" s="328">
        <v>3960</v>
      </c>
    </row>
    <row r="9" spans="1:7" x14ac:dyDescent="0.3">
      <c r="A9" s="1" t="s">
        <v>1767</v>
      </c>
      <c r="B9" t="s">
        <v>1768</v>
      </c>
      <c r="C9" s="1" t="s">
        <v>1240</v>
      </c>
      <c r="D9" s="1">
        <v>8.5</v>
      </c>
      <c r="E9" s="1">
        <v>70072900</v>
      </c>
      <c r="F9" s="10">
        <v>480</v>
      </c>
      <c r="G9" s="328">
        <v>4080</v>
      </c>
    </row>
    <row r="10" spans="1:7" x14ac:dyDescent="0.3">
      <c r="G10" s="328"/>
    </row>
    <row r="11" spans="1:7" x14ac:dyDescent="0.3">
      <c r="G11" s="32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9FE3-F932-405B-B58B-8ABD3C512A7D}">
  <sheetPr>
    <tabColor theme="8" tint="-0.499984740745262"/>
  </sheetPr>
  <dimension ref="A1:D21"/>
  <sheetViews>
    <sheetView showGridLines="0" workbookViewId="0">
      <selection activeCell="H16" sqref="H16"/>
    </sheetView>
  </sheetViews>
  <sheetFormatPr defaultRowHeight="16.5" x14ac:dyDescent="0.3"/>
  <cols>
    <col min="1" max="1" width="22.125" bestFit="1" customWidth="1"/>
    <col min="2" max="2" width="11.625" style="78" bestFit="1" customWidth="1"/>
    <col min="3" max="3" width="12.25" style="78" bestFit="1" customWidth="1"/>
    <col min="4" max="4" width="10.375" bestFit="1" customWidth="1"/>
  </cols>
  <sheetData>
    <row r="1" spans="1:4" x14ac:dyDescent="0.3">
      <c r="A1" t="s">
        <v>1345</v>
      </c>
      <c r="B1" s="78" t="s">
        <v>1343</v>
      </c>
      <c r="C1" s="78" t="s">
        <v>1344</v>
      </c>
    </row>
    <row r="2" spans="1:4" x14ac:dyDescent="0.3">
      <c r="A2" t="s">
        <v>1340</v>
      </c>
      <c r="B2" s="78">
        <v>120</v>
      </c>
      <c r="C2" s="78">
        <v>90</v>
      </c>
    </row>
    <row r="3" spans="1:4" x14ac:dyDescent="0.3">
      <c r="A3" t="s">
        <v>1341</v>
      </c>
      <c r="B3" s="78">
        <v>160</v>
      </c>
      <c r="C3" s="78">
        <v>120</v>
      </c>
    </row>
    <row r="4" spans="1:4" x14ac:dyDescent="0.3">
      <c r="A4" t="s">
        <v>1342</v>
      </c>
      <c r="B4" s="78">
        <v>293</v>
      </c>
      <c r="C4" s="78">
        <v>220</v>
      </c>
    </row>
    <row r="13" spans="1:4" x14ac:dyDescent="0.3">
      <c r="B13" s="327"/>
      <c r="D13" s="320"/>
    </row>
    <row r="14" spans="1:4" x14ac:dyDescent="0.3">
      <c r="B14" s="327"/>
      <c r="D14" s="320"/>
    </row>
    <row r="15" spans="1:4" x14ac:dyDescent="0.3">
      <c r="B15" s="327"/>
      <c r="D15" s="320"/>
    </row>
    <row r="16" spans="1:4" x14ac:dyDescent="0.3">
      <c r="B16" s="327"/>
      <c r="D16" s="320"/>
    </row>
    <row r="17" spans="2:4" x14ac:dyDescent="0.3">
      <c r="B17" s="327"/>
      <c r="D17" s="320"/>
    </row>
    <row r="18" spans="2:4" x14ac:dyDescent="0.3">
      <c r="B18" s="327"/>
      <c r="D18" s="320"/>
    </row>
    <row r="19" spans="2:4" x14ac:dyDescent="0.3">
      <c r="B19" s="327"/>
    </row>
    <row r="20" spans="2:4" x14ac:dyDescent="0.3">
      <c r="B20" s="327"/>
    </row>
    <row r="21" spans="2:4" x14ac:dyDescent="0.3">
      <c r="B21" s="32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 Do</vt:lpstr>
      <vt:lpstr>NC Portas</vt:lpstr>
      <vt:lpstr>Formulas</vt:lpstr>
      <vt:lpstr>Preços</vt:lpstr>
      <vt:lpstr>Configurador</vt:lpstr>
      <vt:lpstr>NF-e NC</vt:lpstr>
      <vt:lpstr>NFS-e NC</vt:lpstr>
      <vt:lpstr>Nice and Clean </vt:lpstr>
      <vt:lpstr>NF-e Nice</vt:lpstr>
      <vt:lpstr>NFS-e Nice</vt:lpstr>
      <vt:lpstr>Data</vt:lpstr>
      <vt:lpstr>CSP</vt:lpstr>
      <vt:lpstr>Serviços</vt:lpstr>
      <vt:lpstr>Produtos</vt:lpstr>
      <vt:lpstr>Bases</vt:lpstr>
      <vt:lpstr>Py Base</vt:lpstr>
      <vt:lpstr>Produtos</vt:lpstr>
      <vt:lpstr>Serviços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lago</dc:creator>
  <cp:lastModifiedBy>rafael lago</cp:lastModifiedBy>
  <dcterms:created xsi:type="dcterms:W3CDTF">2025-11-10T12:04:38Z</dcterms:created>
  <dcterms:modified xsi:type="dcterms:W3CDTF">2026-04-23T18:42:24Z</dcterms:modified>
</cp:coreProperties>
</file>