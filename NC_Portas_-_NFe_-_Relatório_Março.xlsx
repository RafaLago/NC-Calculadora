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Cpu-angelo\e\Arquivos\Rafael\Notas\Relatório Notas Fiscais\2026\03 - Março\NC Portas\"/>
    </mc:Choice>
  </mc:AlternateContent>
  <xr:revisionPtr revIDLastSave="0" documentId="13_ncr:1_{4F3BBB24-EAC7-40B9-BD79-2601C8D7E124}" xr6:coauthVersionLast="47" xr6:coauthVersionMax="47" xr10:uidLastSave="{00000000-0000-0000-0000-000000000000}"/>
  <bookViews>
    <workbookView xWindow="-20610" yWindow="630" windowWidth="20730" windowHeight="11160" xr2:uid="{F4EB0A48-7276-4EAD-8AC7-4FE735A0BB47}"/>
  </bookViews>
  <sheets>
    <sheet name="NF-e 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6" i="1"/>
</calcChain>
</file>

<file path=xl/sharedStrings.xml><?xml version="1.0" encoding="utf-8"?>
<sst xmlns="http://schemas.openxmlformats.org/spreadsheetml/2006/main" count="138" uniqueCount="67">
  <si>
    <t>CLIENTE</t>
  </si>
  <si>
    <t>NF-e</t>
  </si>
  <si>
    <t>VALOR NF-e</t>
  </si>
  <si>
    <t>CFOP</t>
  </si>
  <si>
    <t>NATUREZA</t>
  </si>
  <si>
    <t>CHAVE</t>
  </si>
  <si>
    <t>EMISSÃO</t>
  </si>
  <si>
    <t>STATUS</t>
  </si>
  <si>
    <t xml:space="preserve">Venda de mercadoria adquirida ou recebida de terceiros </t>
  </si>
  <si>
    <t>Emitida</t>
  </si>
  <si>
    <t>Cia Beal de Alimentos</t>
  </si>
  <si>
    <t>Frimesa Cooperativa Central</t>
  </si>
  <si>
    <t xml:space="preserve">Remessa para industrialização por encomenda </t>
  </si>
  <si>
    <t>Calpie Pinturas Industriais Ltda</t>
  </si>
  <si>
    <t>Quantidade Notas</t>
  </si>
  <si>
    <t>Valor Total</t>
  </si>
  <si>
    <t>41260313929397000142550010000054671602026039</t>
  </si>
  <si>
    <t>41260313929397000142550010000054681602026036</t>
  </si>
  <si>
    <t>41260313929397000142550010000054691602026033</t>
  </si>
  <si>
    <t>41260313929397000142550010000054701612026037</t>
  </si>
  <si>
    <t>41260313929397000142550010000054711622026037</t>
  </si>
  <si>
    <t>41260313929397000142550010000054721622026034</t>
  </si>
  <si>
    <t>41260313929397000142550010000054731672026035</t>
  </si>
  <si>
    <t>41260313929397000142550010000054741672026032</t>
  </si>
  <si>
    <t>41260313929397000142550010000054751672026030</t>
  </si>
  <si>
    <t>41260313929397000142550010000054761672026037</t>
  </si>
  <si>
    <t>41260313929397000142550010000054771682026037</t>
  </si>
  <si>
    <t>41260313929397000142550010000054781712026037</t>
  </si>
  <si>
    <t>41260313929397000142550010000054791712026034</t>
  </si>
  <si>
    <t>41260313929397000142550010000054801712026035</t>
  </si>
  <si>
    <t>41260313929397000142550010000054811742026030</t>
  </si>
  <si>
    <t>41260313929397000142550010000054821742026038</t>
  </si>
  <si>
    <t>41260313929397000142550010000054831762026030</t>
  </si>
  <si>
    <t>41260313929397000142550010000054841772026030</t>
  </si>
  <si>
    <t>41260313929397000142550010000054851772026038</t>
  </si>
  <si>
    <t>41260313929397000142550010000054861772026035</t>
  </si>
  <si>
    <t>41260313929397000142550010000054871772026032</t>
  </si>
  <si>
    <t>41260313929397000142550010000054881782026032</t>
  </si>
  <si>
    <t>41260313929397000142550010000054901782026030</t>
  </si>
  <si>
    <t>41260313929397000142550010000054911782026038</t>
  </si>
  <si>
    <t>41260313929397000142550010000054891812026032</t>
  </si>
  <si>
    <t>41260313929397000142550010000054931822026038</t>
  </si>
  <si>
    <t>41260313929397000142550010000054921832026033</t>
  </si>
  <si>
    <t>41260313929397000142550010000054941882026031</t>
  </si>
  <si>
    <t>41260313929397000142550010000054951892026031</t>
  </si>
  <si>
    <t>41260313929397000142550010000054961892026039</t>
  </si>
  <si>
    <t>41260313929397000142550010000054971892026036</t>
  </si>
  <si>
    <t>41260313929397000142550010000054981892026033</t>
  </si>
  <si>
    <t>Costa Sul Pescados S/A</t>
  </si>
  <si>
    <t>Anotécnica Pintura a pó Ltda</t>
  </si>
  <si>
    <t>Fixdoor Soluções Industriais Ltda</t>
  </si>
  <si>
    <t>Bassano Di Grappo Fundo de Investimento Imobiliário</t>
  </si>
  <si>
    <t>All Indústria e Comércio Ltda</t>
  </si>
  <si>
    <t>Tassio Andelison Grein</t>
  </si>
  <si>
    <t>Z Tech Segurança Eletrônica Ltda</t>
  </si>
  <si>
    <t>Condomínio Palladium Shopping Center Curitiba</t>
  </si>
  <si>
    <t>Vilela Vianna Advocacia e Consultoria</t>
  </si>
  <si>
    <t>LP Imóveis Ltda</t>
  </si>
  <si>
    <t>Baston Indústria de Aerossóis Ltda</t>
  </si>
  <si>
    <t>Renault do Brasil Ltda</t>
  </si>
  <si>
    <t>Fast Pintura a Pó Ltda</t>
  </si>
  <si>
    <t>Negretto &amp; Bortoluzzi Nazário Advogados Associados</t>
  </si>
  <si>
    <t>Landis+Gyr Equipamentos de Medição Ltda</t>
  </si>
  <si>
    <t>Gusto &amp; Henri Supermercados Ltda</t>
  </si>
  <si>
    <t>FML Incorporadora Ltda</t>
  </si>
  <si>
    <t>Mondelez Brasil Ltda</t>
  </si>
  <si>
    <t>Instituto de Neurologia de Curitiba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</si>
</sst>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2"/>
      <color theme="1"/>
      <name val="Gill Sans Nova"/>
      <family val="2"/>
    </font>
    <font>
      <sz val="12"/>
      <color theme="1"/>
      <name val="Gill Sans Nova"/>
      <family val="2"/>
    </font>
    <font>
      <b/>
      <sz val="12"/>
      <color theme="1"/>
      <name val="Gill Sans Nova"/>
      <family val="2"/>
    </font>
    <font>
      <b/>
      <sz val="12"/>
      <color theme="4"/>
      <name val="Gill Sans Nova"/>
      <family val="2"/>
    </font>
    <font>
      <sz val="8"/>
      <name val="Gill Sans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/>
        <bgColor theme="7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ck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44" fontId="0" fillId="2" borderId="7" xfId="1" applyFont="1" applyFill="1" applyBorder="1" applyAlignment="1">
      <alignment horizontal="center"/>
    </xf>
    <xf numFmtId="1" fontId="0" fillId="2" borderId="6" xfId="1" applyNumberFormat="1" applyFon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44" fontId="0" fillId="0" borderId="7" xfId="1" applyFont="1" applyBorder="1" applyAlignment="1">
      <alignment horizontal="center"/>
    </xf>
    <xf numFmtId="1" fontId="0" fillId="0" borderId="6" xfId="1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2" borderId="12" xfId="1" applyNumberFormat="1" applyFont="1" applyFill="1" applyBorder="1" applyAlignment="1">
      <alignment horizontal="center"/>
    </xf>
    <xf numFmtId="44" fontId="0" fillId="2" borderId="10" xfId="1" applyFont="1" applyFill="1" applyBorder="1" applyAlignment="1">
      <alignment horizontal="center"/>
    </xf>
    <xf numFmtId="1" fontId="0" fillId="2" borderId="9" xfId="1" applyNumberFormat="1" applyFont="1" applyFill="1" applyBorder="1" applyAlignment="1">
      <alignment horizontal="center"/>
    </xf>
    <xf numFmtId="49" fontId="0" fillId="2" borderId="9" xfId="1" applyNumberFormat="1" applyFont="1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1" applyNumberFormat="1" applyFont="1" applyBorder="1" applyAlignment="1">
      <alignment horizontal="center"/>
    </xf>
    <xf numFmtId="44" fontId="0" fillId="0" borderId="10" xfId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49" fontId="0" fillId="0" borderId="9" xfId="1" applyNumberFormat="1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1" xfId="0" applyFill="1" applyBorder="1" applyAlignment="1">
      <alignment horizontal="left"/>
    </xf>
    <xf numFmtId="14" fontId="0" fillId="0" borderId="13" xfId="0" applyNumberFormat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2" borderId="9" xfId="0" applyFill="1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44" fontId="2" fillId="0" borderId="14" xfId="1" applyFont="1" applyBorder="1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44" fontId="3" fillId="3" borderId="2" xfId="1" applyFont="1" applyFill="1" applyBorder="1" applyAlignment="1">
      <alignment horizontal="center"/>
    </xf>
    <xf numFmtId="1" fontId="3" fillId="3" borderId="4" xfId="1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thin">
          <color auto="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border outline="0">
        <right style="medium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Gill Sans Nova"/>
        <family val="2"/>
        <scheme val="none"/>
      </font>
      <fill>
        <patternFill patternType="solid">
          <fgColor theme="7"/>
          <bgColor theme="3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214DE-E074-4A1D-8913-83843F033D58}" name="NFe" displayName="NFe" ref="A1:H33" totalsRowShown="0" headerRowDxfId="12" tableBorderDxfId="11">
  <autoFilter ref="A1:H33" xr:uid="{9C1214DE-E074-4A1D-8913-83843F033D58}"/>
  <sortState xmlns:xlrd2="http://schemas.microsoft.com/office/spreadsheetml/2017/richdata2" ref="A2:H33">
    <sortCondition ref="B1:B33"/>
  </sortState>
  <tableColumns count="8">
    <tableColumn id="1" xr3:uid="{A75EC665-E0F4-4970-ADC1-54D5447FCE8E}" name="CLIENTE" dataDxfId="10"/>
    <tableColumn id="3" xr3:uid="{33062620-2029-4239-9E6E-C03C64138316}" name="NF-e" dataDxfId="9" dataCellStyle="Currency"/>
    <tableColumn id="4" xr3:uid="{6EE68AD6-3FD7-4B04-86D9-7802436603E9}" name="VALOR NF-e" dataDxfId="8" dataCellStyle="Currency"/>
    <tableColumn id="5" xr3:uid="{1EF28070-4A6E-4195-BC09-01C2B526E0D7}" name="CFOP" dataDxfId="7" dataCellStyle="Currency"/>
    <tableColumn id="6" xr3:uid="{BE9E694E-C5C5-4770-AA17-B38ADF23C301}" name="NATUREZA" dataDxfId="6" dataCellStyle="Currency"/>
    <tableColumn id="7" xr3:uid="{A4165B20-CD30-46F6-94A1-8124BA1C7FED}" name="CHAVE" dataDxfId="5" dataCellStyle="Currency"/>
    <tableColumn id="8" xr3:uid="{5C95AD0F-2BBD-4F6F-9EF0-D3D31F75B8F2}" name="EMISSÃO" dataDxfId="4"/>
    <tableColumn id="9" xr3:uid="{192593EE-2015-43BC-9459-7D0D0A9F377B}" name="STATUS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C One">
      <a:dk1>
        <a:srgbClr val="39588A"/>
      </a:dk1>
      <a:lt1>
        <a:srgbClr val="FFFFFF"/>
      </a:lt1>
      <a:dk2>
        <a:srgbClr val="2F4A78"/>
      </a:dk2>
      <a:lt2>
        <a:srgbClr val="B5B5B5"/>
      </a:lt2>
      <a:accent1>
        <a:srgbClr val="FDC52E"/>
      </a:accent1>
      <a:accent2>
        <a:srgbClr val="70AD47"/>
      </a:accent2>
      <a:accent3>
        <a:srgbClr val="ED7D31"/>
      </a:accent3>
      <a:accent4>
        <a:srgbClr val="A97DBA"/>
      </a:accent4>
      <a:accent5>
        <a:srgbClr val="B5B5B5"/>
      </a:accent5>
      <a:accent6>
        <a:srgbClr val="C00000"/>
      </a:accent6>
      <a:hlink>
        <a:srgbClr val="39588A"/>
      </a:hlink>
      <a:folHlink>
        <a:srgbClr val="7030A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185B-B91B-4AE3-B7EF-F7C808877A7D}">
  <dimension ref="A1:H36"/>
  <sheetViews>
    <sheetView showGridLines="0" tabSelected="1" zoomScale="90" zoomScaleNormal="90" workbookViewId="0">
      <pane ySplit="1" topLeftCell="A2" activePane="bottomLeft" state="frozen"/>
      <selection pane="bottomLeft" activeCell="C35" sqref="C35"/>
    </sheetView>
  </sheetViews>
  <sheetFormatPr defaultRowHeight="16.5" x14ac:dyDescent="0.3"/>
  <cols>
    <col min="1" max="1" width="52.625" bestFit="1" customWidth="1"/>
    <col min="2" max="2" width="16.125" bestFit="1" customWidth="1"/>
    <col min="3" max="3" width="19.625" bestFit="1" customWidth="1"/>
    <col min="4" max="4" width="10.875" bestFit="1" customWidth="1"/>
    <col min="5" max="5" width="58.875" bestFit="1" customWidth="1"/>
    <col min="6" max="6" width="52.5" bestFit="1" customWidth="1"/>
    <col min="7" max="7" width="14.125" bestFit="1" customWidth="1"/>
    <col min="8" max="8" width="13.5" bestFit="1" customWidth="1"/>
    <col min="9" max="9" width="7.125" customWidth="1"/>
  </cols>
  <sheetData>
    <row r="1" spans="1:8" ht="17.25" thickBot="1" x14ac:dyDescent="0.35">
      <c r="A1" s="37" t="s">
        <v>0</v>
      </c>
      <c r="B1" s="38" t="s">
        <v>1</v>
      </c>
      <c r="C1" s="39" t="s">
        <v>2</v>
      </c>
      <c r="D1" s="40" t="s">
        <v>3</v>
      </c>
      <c r="E1" s="39" t="s">
        <v>4</v>
      </c>
      <c r="F1" s="41" t="s">
        <v>5</v>
      </c>
      <c r="G1" s="42" t="s">
        <v>6</v>
      </c>
      <c r="H1" s="43" t="s">
        <v>7</v>
      </c>
    </row>
    <row r="2" spans="1:8" x14ac:dyDescent="0.3">
      <c r="A2" s="1" t="s">
        <v>48</v>
      </c>
      <c r="B2" s="2">
        <v>5467</v>
      </c>
      <c r="C2" s="3">
        <v>946</v>
      </c>
      <c r="D2" s="4">
        <v>6102</v>
      </c>
      <c r="E2" s="3" t="s">
        <v>8</v>
      </c>
      <c r="F2" s="5" t="s">
        <v>16</v>
      </c>
      <c r="G2" s="6">
        <v>46083</v>
      </c>
      <c r="H2" s="7" t="s">
        <v>9</v>
      </c>
    </row>
    <row r="3" spans="1:8" x14ac:dyDescent="0.3">
      <c r="A3" s="8" t="s">
        <v>13</v>
      </c>
      <c r="B3" s="9">
        <v>5468</v>
      </c>
      <c r="C3" s="10">
        <v>7365</v>
      </c>
      <c r="D3" s="11">
        <v>5901</v>
      </c>
      <c r="E3" s="10" t="s">
        <v>12</v>
      </c>
      <c r="F3" s="12" t="s">
        <v>17</v>
      </c>
      <c r="G3" s="13">
        <v>46083</v>
      </c>
      <c r="H3" s="14" t="s">
        <v>9</v>
      </c>
    </row>
    <row r="4" spans="1:8" x14ac:dyDescent="0.3">
      <c r="A4" s="1" t="s">
        <v>49</v>
      </c>
      <c r="B4" s="2">
        <v>5469</v>
      </c>
      <c r="C4" s="3">
        <v>8870</v>
      </c>
      <c r="D4" s="4">
        <v>5901</v>
      </c>
      <c r="E4" s="3" t="s">
        <v>12</v>
      </c>
      <c r="F4" s="5" t="s">
        <v>18</v>
      </c>
      <c r="G4" s="6">
        <v>46083</v>
      </c>
      <c r="H4" s="7" t="s">
        <v>9</v>
      </c>
    </row>
    <row r="5" spans="1:8" x14ac:dyDescent="0.3">
      <c r="A5" s="8" t="s">
        <v>11</v>
      </c>
      <c r="B5" s="9">
        <v>5470</v>
      </c>
      <c r="C5" s="10">
        <v>7231.2</v>
      </c>
      <c r="D5" s="11">
        <v>5102</v>
      </c>
      <c r="E5" s="10" t="s">
        <v>8</v>
      </c>
      <c r="F5" s="12" t="s">
        <v>19</v>
      </c>
      <c r="G5" s="13">
        <v>46084</v>
      </c>
      <c r="H5" s="14" t="s">
        <v>9</v>
      </c>
    </row>
    <row r="6" spans="1:8" x14ac:dyDescent="0.3">
      <c r="A6" s="1" t="s">
        <v>50</v>
      </c>
      <c r="B6" s="2">
        <v>5471</v>
      </c>
      <c r="C6" s="3">
        <v>3500</v>
      </c>
      <c r="D6" s="4">
        <v>5901</v>
      </c>
      <c r="E6" s="3" t="s">
        <v>12</v>
      </c>
      <c r="F6" s="5" t="s">
        <v>20</v>
      </c>
      <c r="G6" s="6">
        <v>46085</v>
      </c>
      <c r="H6" s="7" t="s">
        <v>9</v>
      </c>
    </row>
    <row r="7" spans="1:8" x14ac:dyDescent="0.3">
      <c r="A7" s="8" t="s">
        <v>49</v>
      </c>
      <c r="B7" s="9">
        <v>5472</v>
      </c>
      <c r="C7" s="10">
        <v>190</v>
      </c>
      <c r="D7" s="11">
        <v>5901</v>
      </c>
      <c r="E7" s="10" t="s">
        <v>12</v>
      </c>
      <c r="F7" s="12" t="s">
        <v>21</v>
      </c>
      <c r="G7" s="13">
        <v>46085</v>
      </c>
      <c r="H7" s="14" t="s">
        <v>9</v>
      </c>
    </row>
    <row r="8" spans="1:8" x14ac:dyDescent="0.3">
      <c r="A8" s="1" t="s">
        <v>51</v>
      </c>
      <c r="B8" s="2">
        <v>5473</v>
      </c>
      <c r="C8" s="3">
        <v>9523</v>
      </c>
      <c r="D8" s="4">
        <v>6102</v>
      </c>
      <c r="E8" s="3" t="s">
        <v>8</v>
      </c>
      <c r="F8" s="5" t="s">
        <v>22</v>
      </c>
      <c r="G8" s="6">
        <v>46090</v>
      </c>
      <c r="H8" s="7" t="s">
        <v>9</v>
      </c>
    </row>
    <row r="9" spans="1:8" x14ac:dyDescent="0.3">
      <c r="A9" s="8" t="s">
        <v>13</v>
      </c>
      <c r="B9" s="9">
        <v>5474</v>
      </c>
      <c r="C9" s="10">
        <v>7970</v>
      </c>
      <c r="D9" s="11">
        <v>5901</v>
      </c>
      <c r="E9" s="10" t="s">
        <v>12</v>
      </c>
      <c r="F9" s="12" t="s">
        <v>23</v>
      </c>
      <c r="G9" s="13">
        <v>46090</v>
      </c>
      <c r="H9" s="14" t="s">
        <v>9</v>
      </c>
    </row>
    <row r="10" spans="1:8" x14ac:dyDescent="0.3">
      <c r="A10" s="15" t="s">
        <v>52</v>
      </c>
      <c r="B10" s="16">
        <v>5475</v>
      </c>
      <c r="C10" s="17">
        <v>17540</v>
      </c>
      <c r="D10" s="18">
        <v>5901</v>
      </c>
      <c r="E10" s="3" t="s">
        <v>12</v>
      </c>
      <c r="F10" s="19" t="s">
        <v>24</v>
      </c>
      <c r="G10" s="20">
        <v>46090</v>
      </c>
      <c r="H10" s="21" t="s">
        <v>9</v>
      </c>
    </row>
    <row r="11" spans="1:8" x14ac:dyDescent="0.3">
      <c r="A11" s="22" t="s">
        <v>53</v>
      </c>
      <c r="B11" s="23">
        <v>5476</v>
      </c>
      <c r="C11" s="24">
        <v>2100</v>
      </c>
      <c r="D11" s="25">
        <v>5102</v>
      </c>
      <c r="E11" s="10" t="s">
        <v>8</v>
      </c>
      <c r="F11" s="26" t="s">
        <v>25</v>
      </c>
      <c r="G11" s="27">
        <v>46090</v>
      </c>
      <c r="H11" s="28" t="s">
        <v>9</v>
      </c>
    </row>
    <row r="12" spans="1:8" x14ac:dyDescent="0.3">
      <c r="A12" s="29" t="s">
        <v>54</v>
      </c>
      <c r="B12" s="16">
        <v>5477</v>
      </c>
      <c r="C12" s="17">
        <v>1186.5</v>
      </c>
      <c r="D12" s="18">
        <v>5102</v>
      </c>
      <c r="E12" s="3" t="s">
        <v>8</v>
      </c>
      <c r="F12" s="19" t="s">
        <v>26</v>
      </c>
      <c r="G12" s="20">
        <v>46091</v>
      </c>
      <c r="H12" s="21" t="s">
        <v>9</v>
      </c>
    </row>
    <row r="13" spans="1:8" x14ac:dyDescent="0.3">
      <c r="A13" s="22" t="s">
        <v>55</v>
      </c>
      <c r="B13" s="23">
        <v>5478</v>
      </c>
      <c r="C13" s="24">
        <v>4335.7</v>
      </c>
      <c r="D13" s="25">
        <v>5102</v>
      </c>
      <c r="E13" s="10" t="s">
        <v>8</v>
      </c>
      <c r="F13" s="26" t="s">
        <v>27</v>
      </c>
      <c r="G13" s="30">
        <v>46094</v>
      </c>
      <c r="H13" s="28" t="s">
        <v>9</v>
      </c>
    </row>
    <row r="14" spans="1:8" x14ac:dyDescent="0.3">
      <c r="A14" s="29" t="s">
        <v>52</v>
      </c>
      <c r="B14" s="16">
        <v>5479</v>
      </c>
      <c r="C14" s="17">
        <v>10370</v>
      </c>
      <c r="D14" s="18">
        <v>5901</v>
      </c>
      <c r="E14" s="3" t="s">
        <v>12</v>
      </c>
      <c r="F14" s="19" t="s">
        <v>28</v>
      </c>
      <c r="G14" s="31">
        <v>46094</v>
      </c>
      <c r="H14" s="21" t="s">
        <v>9</v>
      </c>
    </row>
    <row r="15" spans="1:8" x14ac:dyDescent="0.3">
      <c r="A15" s="32" t="s">
        <v>52</v>
      </c>
      <c r="B15" s="23">
        <v>5480</v>
      </c>
      <c r="C15" s="24">
        <v>1600</v>
      </c>
      <c r="D15" s="25">
        <v>5901</v>
      </c>
      <c r="E15" s="10" t="s">
        <v>12</v>
      </c>
      <c r="F15" s="26" t="s">
        <v>29</v>
      </c>
      <c r="G15" s="30">
        <v>46094</v>
      </c>
      <c r="H15" s="28" t="s">
        <v>9</v>
      </c>
    </row>
    <row r="16" spans="1:8" x14ac:dyDescent="0.3">
      <c r="A16" s="33" t="s">
        <v>56</v>
      </c>
      <c r="B16" s="16">
        <v>5481</v>
      </c>
      <c r="C16" s="17">
        <v>1373</v>
      </c>
      <c r="D16" s="18">
        <v>5102</v>
      </c>
      <c r="E16" s="3" t="s">
        <v>8</v>
      </c>
      <c r="F16" s="19" t="s">
        <v>30</v>
      </c>
      <c r="G16" s="31">
        <v>46097</v>
      </c>
      <c r="H16" s="21" t="s">
        <v>9</v>
      </c>
    </row>
    <row r="17" spans="1:8" x14ac:dyDescent="0.3">
      <c r="A17" s="32" t="s">
        <v>57</v>
      </c>
      <c r="B17" s="23">
        <v>5482</v>
      </c>
      <c r="C17" s="24">
        <v>2283.9</v>
      </c>
      <c r="D17" s="25">
        <v>5102</v>
      </c>
      <c r="E17" s="10" t="s">
        <v>8</v>
      </c>
      <c r="F17" s="26" t="s">
        <v>31</v>
      </c>
      <c r="G17" s="30">
        <v>46097</v>
      </c>
      <c r="H17" s="28" t="s">
        <v>9</v>
      </c>
    </row>
    <row r="18" spans="1:8" x14ac:dyDescent="0.3">
      <c r="A18" s="33" t="s">
        <v>58</v>
      </c>
      <c r="B18" s="16">
        <v>5483</v>
      </c>
      <c r="C18" s="17">
        <v>3909.99</v>
      </c>
      <c r="D18" s="18">
        <v>5102</v>
      </c>
      <c r="E18" s="3" t="s">
        <v>8</v>
      </c>
      <c r="F18" s="19" t="s">
        <v>32</v>
      </c>
      <c r="G18" s="31">
        <v>46099</v>
      </c>
      <c r="H18" s="21" t="s">
        <v>9</v>
      </c>
    </row>
    <row r="19" spans="1:8" x14ac:dyDescent="0.3">
      <c r="A19" s="32" t="s">
        <v>59</v>
      </c>
      <c r="B19" s="23">
        <v>5484</v>
      </c>
      <c r="C19" s="24">
        <v>2204.86</v>
      </c>
      <c r="D19" s="25">
        <v>5102</v>
      </c>
      <c r="E19" s="10" t="s">
        <v>8</v>
      </c>
      <c r="F19" s="26" t="s">
        <v>33</v>
      </c>
      <c r="G19" s="30">
        <v>46100</v>
      </c>
      <c r="H19" s="28" t="s">
        <v>9</v>
      </c>
    </row>
    <row r="20" spans="1:8" x14ac:dyDescent="0.3">
      <c r="A20" s="33" t="s">
        <v>59</v>
      </c>
      <c r="B20" s="16">
        <v>5485</v>
      </c>
      <c r="C20" s="17">
        <v>1014.25</v>
      </c>
      <c r="D20" s="18">
        <v>5102</v>
      </c>
      <c r="E20" s="3" t="s">
        <v>8</v>
      </c>
      <c r="F20" s="19" t="s">
        <v>34</v>
      </c>
      <c r="G20" s="31">
        <v>46100</v>
      </c>
      <c r="H20" s="21" t="s">
        <v>9</v>
      </c>
    </row>
    <row r="21" spans="1:8" x14ac:dyDescent="0.3">
      <c r="A21" s="32" t="s">
        <v>60</v>
      </c>
      <c r="B21" s="23">
        <v>5486</v>
      </c>
      <c r="C21" s="24">
        <v>2240</v>
      </c>
      <c r="D21" s="25">
        <v>5901</v>
      </c>
      <c r="E21" s="10" t="s">
        <v>12</v>
      </c>
      <c r="F21" s="26" t="s">
        <v>35</v>
      </c>
      <c r="G21" s="30">
        <v>46100</v>
      </c>
      <c r="H21" s="28" t="s">
        <v>9</v>
      </c>
    </row>
    <row r="22" spans="1:8" x14ac:dyDescent="0.3">
      <c r="A22" s="33" t="s">
        <v>52</v>
      </c>
      <c r="B22" s="16">
        <v>5487</v>
      </c>
      <c r="C22" s="17">
        <v>1600</v>
      </c>
      <c r="D22" s="18">
        <v>5901</v>
      </c>
      <c r="E22" s="3" t="s">
        <v>12</v>
      </c>
      <c r="F22" s="19" t="s">
        <v>36</v>
      </c>
      <c r="G22" s="31">
        <v>46100</v>
      </c>
      <c r="H22" s="21" t="s">
        <v>9</v>
      </c>
    </row>
    <row r="23" spans="1:8" x14ac:dyDescent="0.3">
      <c r="A23" s="32" t="s">
        <v>10</v>
      </c>
      <c r="B23" s="23">
        <v>5488</v>
      </c>
      <c r="C23" s="24">
        <v>118</v>
      </c>
      <c r="D23" s="25">
        <v>5102</v>
      </c>
      <c r="E23" s="10" t="s">
        <v>8</v>
      </c>
      <c r="F23" s="26" t="s">
        <v>37</v>
      </c>
      <c r="G23" s="30">
        <v>46101</v>
      </c>
      <c r="H23" s="28" t="s">
        <v>9</v>
      </c>
    </row>
    <row r="24" spans="1:8" x14ac:dyDescent="0.3">
      <c r="A24" s="33" t="s">
        <v>61</v>
      </c>
      <c r="B24" s="16">
        <v>5489</v>
      </c>
      <c r="C24" s="17">
        <v>11100.34</v>
      </c>
      <c r="D24" s="18">
        <v>6102</v>
      </c>
      <c r="E24" s="3" t="s">
        <v>8</v>
      </c>
      <c r="F24" s="19" t="s">
        <v>40</v>
      </c>
      <c r="G24" s="31">
        <v>46104</v>
      </c>
      <c r="H24" s="21" t="s">
        <v>9</v>
      </c>
    </row>
    <row r="25" spans="1:8" x14ac:dyDescent="0.3">
      <c r="A25" s="32" t="s">
        <v>52</v>
      </c>
      <c r="B25" s="16">
        <v>5490</v>
      </c>
      <c r="C25" s="17">
        <v>13570</v>
      </c>
      <c r="D25" s="18">
        <v>5901</v>
      </c>
      <c r="E25" s="3" t="s">
        <v>12</v>
      </c>
      <c r="F25" s="19" t="s">
        <v>38</v>
      </c>
      <c r="G25" s="31">
        <v>46101</v>
      </c>
      <c r="H25" s="21" t="s">
        <v>9</v>
      </c>
    </row>
    <row r="26" spans="1:8" x14ac:dyDescent="0.3">
      <c r="A26" s="33" t="s">
        <v>55</v>
      </c>
      <c r="B26" s="23">
        <v>5491</v>
      </c>
      <c r="C26" s="24">
        <v>11671.2</v>
      </c>
      <c r="D26" s="25">
        <v>5102</v>
      </c>
      <c r="E26" s="10" t="s">
        <v>8</v>
      </c>
      <c r="F26" s="26" t="s">
        <v>39</v>
      </c>
      <c r="G26" s="30">
        <v>46101</v>
      </c>
      <c r="H26" s="28" t="s">
        <v>9</v>
      </c>
    </row>
    <row r="27" spans="1:8" x14ac:dyDescent="0.3">
      <c r="A27" s="32" t="s">
        <v>63</v>
      </c>
      <c r="B27" s="16">
        <v>5492</v>
      </c>
      <c r="C27" s="17">
        <v>1915.6</v>
      </c>
      <c r="D27" s="18">
        <v>5102</v>
      </c>
      <c r="E27" s="3" t="s">
        <v>8</v>
      </c>
      <c r="F27" s="19" t="s">
        <v>42</v>
      </c>
      <c r="G27" s="31">
        <v>46106</v>
      </c>
      <c r="H27" s="21" t="s">
        <v>9</v>
      </c>
    </row>
    <row r="28" spans="1:8" x14ac:dyDescent="0.3">
      <c r="A28" s="33" t="s">
        <v>62</v>
      </c>
      <c r="B28" s="23">
        <v>5493</v>
      </c>
      <c r="C28" s="24">
        <v>15541.86</v>
      </c>
      <c r="D28" s="25">
        <v>5102</v>
      </c>
      <c r="E28" s="10" t="s">
        <v>8</v>
      </c>
      <c r="F28" s="26" t="s">
        <v>41</v>
      </c>
      <c r="G28" s="30">
        <v>46105</v>
      </c>
      <c r="H28" s="28" t="s">
        <v>9</v>
      </c>
    </row>
    <row r="29" spans="1:8" x14ac:dyDescent="0.3">
      <c r="A29" s="32" t="s">
        <v>64</v>
      </c>
      <c r="B29" s="23">
        <v>5494</v>
      </c>
      <c r="C29" s="24">
        <v>760.8</v>
      </c>
      <c r="D29" s="25">
        <v>5102</v>
      </c>
      <c r="E29" s="10" t="s">
        <v>8</v>
      </c>
      <c r="F29" s="26" t="s">
        <v>43</v>
      </c>
      <c r="G29" s="30">
        <v>46111</v>
      </c>
      <c r="H29" s="28" t="s">
        <v>9</v>
      </c>
    </row>
    <row r="30" spans="1:8" x14ac:dyDescent="0.3">
      <c r="A30" s="33" t="s">
        <v>52</v>
      </c>
      <c r="B30" s="16">
        <v>5495</v>
      </c>
      <c r="C30" s="17">
        <v>14340</v>
      </c>
      <c r="D30" s="18">
        <v>5901</v>
      </c>
      <c r="E30" s="3" t="s">
        <v>12</v>
      </c>
      <c r="F30" s="19" t="s">
        <v>44</v>
      </c>
      <c r="G30" s="31">
        <v>46112</v>
      </c>
      <c r="H30" s="21" t="s">
        <v>9</v>
      </c>
    </row>
    <row r="31" spans="1:8" x14ac:dyDescent="0.3">
      <c r="A31" s="32" t="s">
        <v>65</v>
      </c>
      <c r="B31" s="23">
        <v>5496</v>
      </c>
      <c r="C31" s="24">
        <v>2079.3000000000002</v>
      </c>
      <c r="D31" s="25">
        <v>5102</v>
      </c>
      <c r="E31" s="10" t="s">
        <v>8</v>
      </c>
      <c r="F31" s="26" t="s">
        <v>45</v>
      </c>
      <c r="G31" s="30">
        <v>46112</v>
      </c>
      <c r="H31" s="28" t="s">
        <v>9</v>
      </c>
    </row>
    <row r="32" spans="1:8" x14ac:dyDescent="0.3">
      <c r="A32" s="33" t="s">
        <v>65</v>
      </c>
      <c r="B32" s="16">
        <v>5497</v>
      </c>
      <c r="C32" s="17">
        <v>8022.55</v>
      </c>
      <c r="D32" s="18">
        <v>5102</v>
      </c>
      <c r="E32" s="3" t="s">
        <v>8</v>
      </c>
      <c r="F32" s="19" t="s">
        <v>46</v>
      </c>
      <c r="G32" s="31">
        <v>46112</v>
      </c>
      <c r="H32" s="21" t="s">
        <v>9</v>
      </c>
    </row>
    <row r="33" spans="1:8" x14ac:dyDescent="0.3">
      <c r="A33" s="32" t="s">
        <v>66</v>
      </c>
      <c r="B33" s="23">
        <v>5498</v>
      </c>
      <c r="C33" s="24">
        <v>695.5</v>
      </c>
      <c r="D33" s="25">
        <v>5102</v>
      </c>
      <c r="E33" s="24" t="s">
        <v>8</v>
      </c>
      <c r="F33" s="26" t="s">
        <v>47</v>
      </c>
      <c r="G33" s="30">
        <v>46112</v>
      </c>
      <c r="H33" s="28" t="s">
        <v>9</v>
      </c>
    </row>
    <row r="34" spans="1:8" ht="17.25" thickBot="1" x14ac:dyDescent="0.35"/>
    <row r="35" spans="1:8" ht="17.25" thickBot="1" x14ac:dyDescent="0.35">
      <c r="A35" s="34" t="s">
        <v>14</v>
      </c>
      <c r="B35" s="35">
        <f>COUNT(NFe[NF-e])</f>
        <v>32</v>
      </c>
    </row>
    <row r="36" spans="1:8" ht="17.25" thickBot="1" x14ac:dyDescent="0.35">
      <c r="A36" s="34" t="s">
        <v>15</v>
      </c>
      <c r="B36" s="36">
        <f>SUM(NFe[VALOR NF-e])</f>
        <v>177168.55</v>
      </c>
    </row>
  </sheetData>
  <phoneticPr fontId="4" type="noConversion"/>
  <conditionalFormatting sqref="B2:H33">
    <cfRule type="expression" dxfId="2" priority="1">
      <formula>$H2="Em Andamento"</formula>
    </cfRule>
    <cfRule type="expression" dxfId="1" priority="2">
      <formula>$H2="Emitida"</formula>
    </cfRule>
    <cfRule type="expression" dxfId="0" priority="3">
      <formula>$H2="Cancelada"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NF-e 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lago</dc:creator>
  <cp:lastModifiedBy>rafael lago</cp:lastModifiedBy>
  <dcterms:created xsi:type="dcterms:W3CDTF">2026-03-02T16:41:35Z</dcterms:created>
  <dcterms:modified xsi:type="dcterms:W3CDTF">2026-04-01T12:34:15Z</dcterms:modified>
</cp:coreProperties>
</file>